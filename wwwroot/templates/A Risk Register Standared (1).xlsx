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
    </mc:Choice>
  </mc:AlternateContent>
  <bookViews>
    <workbookView xWindow="0" yWindow="0" windowWidth="21600" windowHeight="9165"/>
  </bookViews>
  <sheets>
    <sheet name="Domestic Banking" sheetId="3" r:id="rId1"/>
    <sheet name="Credit" sheetId="9" r:id="rId2"/>
  </sheets>
  <definedNames>
    <definedName name="_xlnm._FilterDatabase" localSheetId="0" hidden="1">'Domestic Banking'!$A$6:$P$10</definedName>
    <definedName name="_xlnm.Print_Area" localSheetId="1">Credit!$A$1:$T$12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 i="9" l="1"/>
  <c r="M12" i="9" s="1"/>
  <c r="J11" i="9"/>
  <c r="M11" i="9" s="1"/>
  <c r="J10" i="9"/>
  <c r="M10" i="9" s="1"/>
  <c r="J9" i="9"/>
  <c r="M9" i="9" s="1"/>
  <c r="J8" i="9"/>
  <c r="M8" i="9" s="1"/>
  <c r="J7" i="9"/>
  <c r="M7" i="9" s="1"/>
  <c r="J10" i="3" l="1"/>
  <c r="M10" i="3" s="1"/>
  <c r="J9" i="3"/>
  <c r="M9" i="3" s="1"/>
  <c r="J8" i="3"/>
  <c r="M8" i="3" s="1"/>
  <c r="J7" i="3"/>
  <c r="M7" i="3" s="1"/>
</calcChain>
</file>

<file path=xl/comments1.xml><?xml version="1.0" encoding="utf-8"?>
<comments xmlns="http://schemas.openxmlformats.org/spreadsheetml/2006/main">
  <authors>
    <author>User</author>
  </authors>
  <commentList>
    <comment ref="D4" authorId="0" shapeId="0">
      <text>
        <r>
          <rPr>
            <sz val="9"/>
            <color indexed="81"/>
            <rFont val="Tahoma"/>
            <family val="2"/>
          </rPr>
          <t xml:space="preserve">BoA Risk register
Inherent risk is the rating of the risk that exists as it stands or naturally occurs, prior to any mitigating actions being put in place. For example, if you were to do nothing to combat the risk from materalising what level of risk rating would this pose? </t>
        </r>
      </text>
    </comment>
    <comment ref="K4" authorId="0" shapeId="0">
      <text>
        <r>
          <rPr>
            <b/>
            <sz val="9"/>
            <color indexed="81"/>
            <rFont val="Tahoma"/>
            <family val="2"/>
          </rPr>
          <t>BoA Risk Register</t>
        </r>
        <r>
          <rPr>
            <sz val="9"/>
            <color indexed="81"/>
            <rFont val="Tahoma"/>
            <family val="2"/>
          </rPr>
          <t xml:space="preserve">
The residual risk is the rating of the risk if all mitigation actions are successfully and effectively implemented. You can expect the residual risk to be lower than the inherent risk due to the actions taken the mitigate against the event occurence or impact.</t>
        </r>
      </text>
    </comment>
    <comment ref="D5" authorId="0" shapeId="0">
      <text>
        <r>
          <rPr>
            <b/>
            <sz val="9"/>
            <color indexed="81"/>
            <rFont val="Tahoma"/>
            <family val="2"/>
          </rPr>
          <t>BoA risk Register</t>
        </r>
        <r>
          <rPr>
            <sz val="9"/>
            <color indexed="81"/>
            <rFont val="Tahoma"/>
            <family val="2"/>
          </rPr>
          <t xml:space="preserve">
To describe risk please outline the event,cause,  and effect
</t>
        </r>
      </text>
    </comment>
    <comment ref="H5" authorId="0" shapeId="0">
      <text>
        <r>
          <rPr>
            <b/>
            <sz val="9"/>
            <color indexed="81"/>
            <rFont val="Tahoma"/>
            <family val="2"/>
          </rPr>
          <t>Risk Register</t>
        </r>
        <r>
          <rPr>
            <sz val="9"/>
            <color indexed="81"/>
            <rFont val="Tahoma"/>
            <family val="2"/>
          </rPr>
          <t xml:space="preserve">
Risk analysis involves developing a clear understanding of the level and nature of each risk identified. The level of risk shall be determined by assessing impacts (consequences or magnitude of the effect) and the probability (frequency or likelihood) of a particular risk scenario.</t>
        </r>
      </text>
    </comment>
    <comment ref="B6" authorId="0" shapeId="0">
      <text>
        <r>
          <rPr>
            <b/>
            <sz val="9"/>
            <color indexed="81"/>
            <rFont val="Tahoma"/>
            <family val="2"/>
          </rPr>
          <t>BoA Risk Register</t>
        </r>
        <r>
          <rPr>
            <sz val="9"/>
            <color indexed="81"/>
            <rFont val="Tahoma"/>
            <family val="2"/>
          </rPr>
          <t xml:space="preserve">
Please enter in the date that you added the identified risk into this register using the 
format: DD/MM/YYYY
The risk date does not change as risks are evolve across quarters or as they are deemed to be closed. They remain as a historical record of when the risk was first identified.</t>
        </r>
      </text>
    </comment>
    <comment ref="E6" authorId="0" shapeId="0">
      <text>
        <r>
          <rPr>
            <b/>
            <sz val="9"/>
            <color indexed="81"/>
            <rFont val="Tahoma"/>
            <family val="2"/>
          </rPr>
          <t>BoA Risk Register</t>
        </r>
        <r>
          <rPr>
            <sz val="9"/>
            <color indexed="81"/>
            <rFont val="Tahoma"/>
            <family val="2"/>
          </rPr>
          <t xml:space="preserve">
BoA have outlined seven categories by which risks now need to be categorised. 
1. Internal Fraud (intentional misrepresenting of positions, theft, transfer of cash from customers’ account to employment account.)
2. External Fraud ( Robbery, forgery, check-kitting, and damage from a personal computer.)
3. Employment Practice &amp; Work place safety. (Compensation claims, violation of health &amp;safety rules , discrimination-claims, organized activities.
4. Clients’ products and business practices, the examples of which are fiduciary breaches, misuse of confidential customer-information, improper trading activities on the Bank’s account, money-laundering, and the sale of unauthorized products;
5. Damage to physical assets, resulting from terrorism, vandalism, earthquakes, fires, and floods;
6. Business disruption and system failures, which comprise telecommunications problems and utility outages;
7. Execution, delivery, and process management-that is, data-entry errors, collateral-management failures, incomplete legal documentation, unapproved access given to clients’ accounts, non-client counterparty mis-performance, and vendor disputes.  
Please choose the relevant risk category from the drop down menu in this column. Once you click on the cell the dropbox arrow will appear.</t>
        </r>
      </text>
    </comment>
    <comment ref="F6" authorId="0" shapeId="0">
      <text>
        <r>
          <rPr>
            <b/>
            <sz val="9"/>
            <color indexed="81"/>
            <rFont val="Tahoma"/>
            <family val="2"/>
          </rPr>
          <t>Risk Register</t>
        </r>
        <r>
          <rPr>
            <sz val="9"/>
            <color indexed="81"/>
            <rFont val="Tahoma"/>
            <family val="2"/>
          </rPr>
          <t xml:space="preserve">
what are the potential triggers that may result in the risk event occurring</t>
        </r>
      </text>
    </comment>
    <comment ref="H6" authorId="0" shapeId="0">
      <text>
        <r>
          <rPr>
            <b/>
            <sz val="9"/>
            <color indexed="81"/>
            <rFont val="Tahoma"/>
            <family val="2"/>
          </rPr>
          <t>Risk Register:</t>
        </r>
        <r>
          <rPr>
            <sz val="9"/>
            <color indexed="81"/>
            <rFont val="Tahoma"/>
            <family val="2"/>
          </rPr>
          <t xml:space="preserve">
Please refer to the Risk Guidance tab "Table one BoA Probablity Rating''. 
Inherent risk is the rating of the risk that exists as it stands or naturally occurs, prior to any mitigating actions being put in place.
Please choose the probability risk rating from the drop down menu in this column. Once you click on the cell the dropbox arrow will appear.</t>
        </r>
      </text>
    </comment>
    <comment ref="I6" authorId="0" shapeId="0">
      <text>
        <r>
          <rPr>
            <b/>
            <sz val="9"/>
            <color indexed="81"/>
            <rFont val="Tahoma"/>
            <family val="2"/>
          </rPr>
          <t>Risk Register:</t>
        </r>
        <r>
          <rPr>
            <sz val="9"/>
            <color indexed="81"/>
            <rFont val="Tahoma"/>
            <family val="2"/>
          </rPr>
          <t xml:space="preserve">
Please refer to the Risk Guidance tab "BoA Imapct Rating". 
Inherent risk is the rating of the risk that exists as it stands or naturally occurs, prior to any mitigating actions being put in place.
Please choose the impact risk rating from the drop down menu in this column. Once you click on the cell the dropbox arrow will appear.</t>
        </r>
      </text>
    </comment>
    <comment ref="J6" authorId="0" shapeId="0">
      <text>
        <r>
          <rPr>
            <b/>
            <sz val="9"/>
            <color indexed="81"/>
            <rFont val="Tahoma"/>
            <family val="2"/>
          </rPr>
          <t>Risk Register:</t>
        </r>
        <r>
          <rPr>
            <sz val="9"/>
            <color indexed="81"/>
            <rFont val="Tahoma"/>
            <family val="2"/>
          </rPr>
          <t xml:space="preserve">
In order to identify the overall risk rating, please refer to the Risk Guidance tab 'Table three BoA Risk Rating Matrix' which presents the matrix for combining probability with impact to achieve the overall rating(score). 
Inherent risk rating of the risk that exists as it stands or naturally occurs, prior to any mitigating actions being put in place.
Please choose the overall risk rating from the drop down menu in this column. Once you click on the cell the dropbox arrow will appear. </t>
        </r>
      </text>
    </comment>
    <comment ref="K6" authorId="0" shapeId="0">
      <text>
        <r>
          <rPr>
            <sz val="9"/>
            <color indexed="81"/>
            <rFont val="Tahoma"/>
            <family val="2"/>
          </rPr>
          <t>BoA risk Register
Please detail the actions that the risk owner(s) will take to mitigate against the risk and if there are any controls that can be put in place or exercised to manage the risk.
Example,existing BoA Policy procedure and program.
any software</t>
        </r>
      </text>
    </comment>
    <comment ref="M6" authorId="0" shapeId="0">
      <text>
        <r>
          <rPr>
            <sz val="9"/>
            <color indexed="81"/>
            <rFont val="Tahoma"/>
            <family val="2"/>
          </rPr>
          <t>Risk Register
In order to identify the Residual risk rating, please refer to the Risk Guidance tab "Heat Map to evaluate the level of residual risk'' which presents the matrix for combining Risk level with Existing risk control to achieve Residual Risk rating. 
The residual risk is the rating of the risk if all mitigation actions are successfully and effectively implemented. You can expect the residual risk to be lower than the inherent risk due to the actions taken the mitigate against the event occurence or impact.
Please choose the overall risk rating from the drop down menu in this column. Once you click on the cell the dropbox arrow will appear.</t>
        </r>
      </text>
    </comment>
    <comment ref="O6" authorId="0" shapeId="0">
      <text>
        <r>
          <rPr>
            <b/>
            <sz val="9"/>
            <color indexed="81"/>
            <rFont val="Tahoma"/>
            <family val="2"/>
          </rPr>
          <t>Risk Register</t>
        </r>
        <r>
          <rPr>
            <sz val="9"/>
            <color indexed="81"/>
            <rFont val="Tahoma"/>
            <family val="2"/>
          </rPr>
          <t xml:space="preserve">
Please specify the owner of the risk. Who is responsible for monitoring and taking action on this identified risk?
The person could be within your Department or district. 
We request that you enter their full name, their job title, so that RCMD know who to contact if necessary.
</t>
        </r>
      </text>
    </comment>
  </commentList>
</comments>
</file>

<file path=xl/sharedStrings.xml><?xml version="1.0" encoding="utf-8"?>
<sst xmlns="http://schemas.openxmlformats.org/spreadsheetml/2006/main" count="260" uniqueCount="105">
  <si>
    <t>Inherent Risk</t>
  </si>
  <si>
    <t>Residual Risk</t>
  </si>
  <si>
    <t>Probability (Likelihood)</t>
  </si>
  <si>
    <t xml:space="preserve">Impact (Consequence) </t>
  </si>
  <si>
    <t xml:space="preserve">Risk Matrix Table </t>
  </si>
  <si>
    <t>Consequence</t>
  </si>
  <si>
    <t xml:space="preserve">Risk Treatment </t>
  </si>
  <si>
    <t>Risks Identified</t>
  </si>
  <si>
    <t>Risk Analysis</t>
  </si>
  <si>
    <t>Almost certain (5)</t>
  </si>
  <si>
    <t>Very High (5)</t>
  </si>
  <si>
    <t>Very Low (1)</t>
  </si>
  <si>
    <t>Low (2)</t>
  </si>
  <si>
    <t>Medium (3)</t>
  </si>
  <si>
    <t>High (4)</t>
  </si>
  <si>
    <t>Risk Date</t>
  </si>
  <si>
    <t>Risk ID</t>
  </si>
  <si>
    <t>Cause</t>
  </si>
  <si>
    <t>Effect</t>
  </si>
  <si>
    <t>Probablity</t>
  </si>
  <si>
    <t>Impact</t>
  </si>
  <si>
    <t>Score</t>
  </si>
  <si>
    <t>Risk Treatment</t>
  </si>
  <si>
    <t>Rating</t>
  </si>
  <si>
    <t>Level of
Residual 
Risk</t>
  </si>
  <si>
    <t xml:space="preserve">Further risk 
mitigation </t>
  </si>
  <si>
    <t>Risk catagory</t>
  </si>
  <si>
    <t>Risk Owner</t>
  </si>
  <si>
    <t>Action Plan Date</t>
  </si>
  <si>
    <t>Likely (4)</t>
  </si>
  <si>
    <t>Likelihood</t>
  </si>
  <si>
    <t>Medium</t>
  </si>
  <si>
    <t>High</t>
  </si>
  <si>
    <t>Very High</t>
  </si>
  <si>
    <t>Rare (1)</t>
  </si>
  <si>
    <t>Low</t>
  </si>
  <si>
    <t>Possible (3)</t>
  </si>
  <si>
    <t>Unlikely (2)</t>
  </si>
  <si>
    <t>Very Low</t>
  </si>
  <si>
    <t>Adequate</t>
  </si>
  <si>
    <t>Monitor and follow-up with T24</t>
  </si>
  <si>
    <t>Training and Coaching</t>
  </si>
  <si>
    <t>SWIFT Guide or rules</t>
  </si>
  <si>
    <t>Terms and Tariffs</t>
  </si>
  <si>
    <t>Manuals, Directives, Training and ICC Pub.</t>
  </si>
  <si>
    <t xml:space="preserve">Check and Balance internally </t>
  </si>
  <si>
    <t>Very Strong</t>
  </si>
  <si>
    <t>DB0001</t>
  </si>
  <si>
    <t xml:space="preserve">                            Event</t>
  </si>
  <si>
    <t>Negligence</t>
  </si>
  <si>
    <t xml:space="preserve">Execution delivery and process management </t>
  </si>
  <si>
    <t>DB0002</t>
  </si>
  <si>
    <t>DB0003</t>
  </si>
  <si>
    <t>Competency Gap</t>
  </si>
  <si>
    <t>DB0004</t>
  </si>
  <si>
    <t>External Fraud</t>
  </si>
  <si>
    <t>Strong</t>
  </si>
  <si>
    <t>Branch</t>
  </si>
  <si>
    <t>Accepting account opening and transaction processing with incomplete documents</t>
  </si>
  <si>
    <t>Compliance</t>
  </si>
  <si>
    <t>#</t>
  </si>
  <si>
    <t>Risk Evaluation</t>
  </si>
  <si>
    <t xml:space="preserve">District and Branch
</t>
  </si>
  <si>
    <t>Financial</t>
  </si>
  <si>
    <t>Legal and Financial</t>
  </si>
  <si>
    <t>Compliance and Financial</t>
  </si>
  <si>
    <t>Negligence and Competency Gap</t>
  </si>
  <si>
    <t>A single customer holds more than one customer ID for deposit accounts.</t>
  </si>
  <si>
    <t>Deliver of cards without customer signature</t>
  </si>
  <si>
    <t>Failure to apply document authentication, during  Demand customer account opening</t>
  </si>
  <si>
    <t>Risk Register for Domestic banking Operation</t>
  </si>
  <si>
    <t xml:space="preserve">                                  Risk Register for Credit Operation</t>
  </si>
  <si>
    <t>Risk Event</t>
  </si>
  <si>
    <t xml:space="preserve">Further risk 
Mitigation </t>
  </si>
  <si>
    <t>CR001</t>
  </si>
  <si>
    <t>Processing loan requests without documentaion of the customer application or Credit application form of the bank</t>
  </si>
  <si>
    <t>Negligence &amp; Competency Gap</t>
  </si>
  <si>
    <t xml:space="preserve">Compliance </t>
  </si>
  <si>
    <t>Commercial Credit &amp; Corporate credit</t>
  </si>
  <si>
    <t>CR002</t>
  </si>
  <si>
    <t>Processing loan request without verifying the signatory of the application</t>
  </si>
  <si>
    <t>Negligence &amp;Workload</t>
  </si>
  <si>
    <t>Financial &amp; legal</t>
  </si>
  <si>
    <t>CR003</t>
  </si>
  <si>
    <t>Processing of loan request with CAF or application letter without signature</t>
  </si>
  <si>
    <t>CR004</t>
  </si>
  <si>
    <t>Processing of loan request with CAF or application without manadatory contents</t>
  </si>
  <si>
    <t>Compliance &amp; Financial</t>
  </si>
  <si>
    <t>CR005</t>
  </si>
  <si>
    <t>Missing to conduct interview while processing loan request results in missing of some manadatory information</t>
  </si>
  <si>
    <t>CR006</t>
  </si>
  <si>
    <t>Missing information during the interview in loan request processing steps</t>
  </si>
  <si>
    <t xml:space="preserve">Credit business procedure </t>
  </si>
  <si>
    <t>Tsedey Bank SC.</t>
  </si>
  <si>
    <t xml:space="preserve">Date Created </t>
  </si>
  <si>
    <t xml:space="preserve">                               Tsedey Bank SC.</t>
  </si>
  <si>
    <t xml:space="preserve">                                   Date Created </t>
  </si>
  <si>
    <t xml:space="preserve"> credit business procedure effective June XXX Page XXto XX Art. XX.XX</t>
  </si>
  <si>
    <t>Credit business procedure</t>
  </si>
  <si>
    <t>credit business procedure effective June xxx Page xxx to xxx Art. Xx.xx</t>
  </si>
  <si>
    <t>Credit business procedure article xx</t>
  </si>
  <si>
    <t>Branch Banking Procedure Page xxx ; page xxx art. X.x a .</t>
  </si>
  <si>
    <t>Branch Banking Procedure
Page xx</t>
  </si>
  <si>
    <t>Branch banking procedure art xx Page xx</t>
  </si>
  <si>
    <t>Branch banking procedure art xxx  Page 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</si>
</sst>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7" x14ac:knownFonts="1">
    <font>
      <sz val="11"/>
      <color theme="1"/>
      <name val="Calibri"/>
      <family val="2"/>
      <scheme val="minor"/>
    </font>
    <font>
      <sz val="9"/>
      <color indexed="81"/>
      <name val="Tahoma"/>
      <family val="2"/>
    </font>
    <font>
      <b/>
      <sz val="9"/>
      <color indexed="81"/>
      <name val="Tahoma"/>
      <family val="2"/>
    </font>
    <font>
      <sz val="11"/>
      <color theme="1"/>
      <name val="Tahoma"/>
      <family val="2"/>
    </font>
    <font>
      <sz val="11"/>
      <name val="Tahoma"/>
      <family val="2"/>
    </font>
    <font>
      <b/>
      <sz val="11"/>
      <color theme="1"/>
      <name val="Tahoma"/>
      <family val="2"/>
    </font>
    <font>
      <sz val="16"/>
      <color theme="1"/>
      <name val="Tahoma"/>
      <family val="2"/>
    </font>
    <font>
      <b/>
      <sz val="18"/>
      <color theme="0"/>
      <name val="Tahoma"/>
      <family val="2"/>
    </font>
    <font>
      <b/>
      <sz val="16"/>
      <color theme="0"/>
      <name val="Tahoma"/>
      <family val="2"/>
    </font>
    <font>
      <sz val="16"/>
      <color theme="0"/>
      <name val="Tahoma"/>
      <family val="2"/>
    </font>
    <font>
      <sz val="12"/>
      <color theme="1"/>
      <name val="Tahoma"/>
      <family val="2"/>
    </font>
    <font>
      <b/>
      <sz val="14"/>
      <name val="Tahoma"/>
      <family val="2"/>
    </font>
    <font>
      <sz val="14"/>
      <name val="Tahoma"/>
      <family val="2"/>
    </font>
    <font>
      <b/>
      <sz val="18"/>
      <color theme="1"/>
      <name val="Tahoma"/>
      <family val="2"/>
    </font>
    <font>
      <b/>
      <sz val="20"/>
      <name val="Tahoma"/>
      <family val="2"/>
    </font>
    <font>
      <b/>
      <sz val="11"/>
      <name val="Tahoma"/>
      <family val="2"/>
    </font>
    <font>
      <sz val="20"/>
      <name val="Tahoma"/>
      <family val="2"/>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C00000"/>
        <bgColor indexed="64"/>
      </patternFill>
    </fill>
    <fill>
      <patternFill patternType="solid">
        <fgColor theme="9" tint="0.39997558519241921"/>
        <bgColor indexed="64"/>
      </patternFill>
    </fill>
    <fill>
      <patternFill patternType="solid">
        <fgColor rgb="FF009900"/>
        <bgColor indexed="64"/>
      </patternFill>
    </fill>
    <fill>
      <patternFill patternType="solid">
        <fgColor theme="1"/>
        <bgColor indexed="64"/>
      </patternFill>
    </fill>
    <fill>
      <patternFill patternType="solid">
        <fgColor theme="4" tint="0.59999389629810485"/>
        <bgColor indexed="64"/>
      </patternFill>
    </fill>
    <fill>
      <patternFill patternType="solid">
        <fgColor theme="0"/>
        <bgColor indexed="64"/>
      </patternFill>
    </fill>
    <fill>
      <patternFill patternType="solid">
        <fgColor theme="4"/>
        <bgColor indexed="64"/>
      </patternFill>
    </fill>
    <fill>
      <patternFill patternType="solid">
        <fgColor rgb="FF7030A0"/>
        <bgColor indexed="64"/>
      </patternFill>
    </fill>
    <fill>
      <patternFill patternType="solid">
        <fgColor theme="4" tint="0.79998168889431442"/>
        <bgColor indexed="64"/>
      </patternFill>
    </fill>
    <fill>
      <patternFill patternType="solid">
        <fgColor rgb="FF00CC99"/>
        <bgColor indexed="64"/>
      </patternFill>
    </fill>
    <fill>
      <patternFill patternType="solid">
        <fgColor theme="8"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s>
  <cellStyleXfs count="1">
    <xf numFmtId="0" fontId="0" fillId="0" borderId="0"/>
  </cellStyleXfs>
  <cellXfs count="138">
    <xf numFmtId="0" fontId="0" fillId="0" borderId="0" xfId="0"/>
    <xf numFmtId="0" fontId="3" fillId="0" borderId="1" xfId="0" applyFont="1" applyBorder="1" applyAlignment="1" applyProtection="1">
      <alignment horizontal="left" vertical="top"/>
      <protection locked="0"/>
    </xf>
    <xf numFmtId="0" fontId="3"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xf>
    <xf numFmtId="0" fontId="3" fillId="6" borderId="1" xfId="0" applyFont="1" applyFill="1" applyBorder="1" applyAlignment="1" applyProtection="1">
      <alignment horizontal="left" vertical="top"/>
    </xf>
    <xf numFmtId="0" fontId="4" fillId="0" borderId="1" xfId="0" applyFont="1" applyBorder="1" applyAlignment="1" applyProtection="1">
      <alignment horizontal="left" vertical="top" wrapText="1"/>
      <protection locked="0"/>
    </xf>
    <xf numFmtId="0" fontId="3" fillId="0" borderId="1"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protection locked="0"/>
    </xf>
    <xf numFmtId="0" fontId="4" fillId="12" borderId="5" xfId="0" applyFont="1" applyFill="1" applyBorder="1" applyAlignment="1" applyProtection="1">
      <alignment horizontal="left" wrapText="1"/>
      <protection locked="0"/>
    </xf>
    <xf numFmtId="0" fontId="4" fillId="12" borderId="5" xfId="0" applyFont="1" applyFill="1" applyBorder="1" applyAlignment="1" applyProtection="1">
      <alignment horizontal="left"/>
      <protection locked="0"/>
    </xf>
    <xf numFmtId="0" fontId="4" fillId="0" borderId="5" xfId="0" applyFont="1" applyFill="1" applyBorder="1" applyAlignment="1" applyProtection="1">
      <alignment horizontal="left"/>
      <protection locked="0"/>
    </xf>
    <xf numFmtId="0" fontId="4" fillId="12" borderId="20" xfId="0" applyFont="1" applyFill="1" applyBorder="1" applyAlignment="1" applyProtection="1">
      <alignment horizontal="left"/>
      <protection locked="0"/>
    </xf>
    <xf numFmtId="0" fontId="4" fillId="12" borderId="1" xfId="0" applyFont="1" applyFill="1" applyBorder="1" applyAlignment="1" applyProtection="1">
      <alignment horizontal="left" wrapText="1"/>
      <protection locked="0"/>
    </xf>
    <xf numFmtId="0" fontId="4" fillId="12" borderId="1" xfId="0" applyFont="1" applyFill="1" applyBorder="1" applyAlignment="1" applyProtection="1">
      <alignment horizontal="left"/>
      <protection locked="0"/>
    </xf>
    <xf numFmtId="0" fontId="4" fillId="0" borderId="1" xfId="0" applyFont="1" applyFill="1" applyBorder="1" applyAlignment="1" applyProtection="1">
      <alignment horizontal="left"/>
      <protection locked="0"/>
    </xf>
    <xf numFmtId="0" fontId="4" fillId="12" borderId="8" xfId="0" applyFont="1" applyFill="1" applyBorder="1" applyAlignment="1" applyProtection="1">
      <alignment horizontal="left"/>
      <protection locked="0"/>
    </xf>
    <xf numFmtId="0" fontId="4" fillId="12" borderId="8" xfId="0" applyFont="1" applyFill="1" applyBorder="1" applyAlignment="1" applyProtection="1">
      <alignment horizontal="left" wrapText="1"/>
      <protection locked="0"/>
    </xf>
    <xf numFmtId="0" fontId="3" fillId="0" borderId="1" xfId="0" applyFont="1" applyBorder="1" applyAlignment="1" applyProtection="1">
      <alignment horizontal="left" wrapText="1"/>
      <protection locked="0"/>
    </xf>
    <xf numFmtId="0" fontId="3" fillId="0" borderId="1" xfId="0" applyFont="1" applyFill="1" applyBorder="1" applyAlignment="1" applyProtection="1">
      <alignment horizontal="left" wrapText="1"/>
      <protection locked="0"/>
    </xf>
    <xf numFmtId="0" fontId="3" fillId="0" borderId="1" xfId="0" applyFont="1" applyBorder="1" applyAlignment="1" applyProtection="1">
      <alignment horizontal="left"/>
      <protection locked="0"/>
    </xf>
    <xf numFmtId="15" fontId="3" fillId="0" borderId="8" xfId="0" applyNumberFormat="1" applyFont="1" applyBorder="1" applyAlignment="1" applyProtection="1">
      <alignment horizontal="left" wrapText="1"/>
      <protection locked="0"/>
    </xf>
    <xf numFmtId="0" fontId="3" fillId="0" borderId="1" xfId="0" applyFont="1" applyFill="1" applyBorder="1" applyAlignment="1" applyProtection="1">
      <alignment horizontal="left"/>
      <protection locked="0"/>
    </xf>
    <xf numFmtId="0" fontId="3" fillId="0" borderId="8" xfId="0" applyFont="1" applyBorder="1" applyAlignment="1" applyProtection="1">
      <alignment horizontal="left" wrapText="1"/>
      <protection locked="0"/>
    </xf>
    <xf numFmtId="0" fontId="3" fillId="12" borderId="1" xfId="0" applyFont="1" applyFill="1" applyBorder="1" applyAlignment="1" applyProtection="1">
      <alignment horizontal="left" wrapText="1"/>
      <protection locked="0"/>
    </xf>
    <xf numFmtId="0" fontId="3" fillId="12" borderId="1" xfId="0" applyFont="1" applyFill="1" applyBorder="1" applyAlignment="1" applyProtection="1">
      <alignment horizontal="left"/>
      <protection locked="0"/>
    </xf>
    <xf numFmtId="0" fontId="3" fillId="6" borderId="8" xfId="0" applyFont="1" applyFill="1" applyBorder="1" applyAlignment="1" applyProtection="1">
      <alignment horizontal="left"/>
      <protection locked="0"/>
    </xf>
    <xf numFmtId="0" fontId="11" fillId="0" borderId="0" xfId="0" applyFont="1" applyFill="1" applyAlignment="1" applyProtection="1">
      <alignment wrapText="1"/>
    </xf>
    <xf numFmtId="0" fontId="12" fillId="0" borderId="0" xfId="0" applyFont="1" applyFill="1" applyAlignment="1" applyProtection="1"/>
    <xf numFmtId="0" fontId="6" fillId="10" borderId="17" xfId="0" applyFont="1" applyFill="1" applyBorder="1" applyAlignment="1" applyProtection="1">
      <alignment horizontal="center" vertical="center"/>
    </xf>
    <xf numFmtId="0" fontId="6" fillId="10" borderId="18" xfId="0" applyFont="1" applyFill="1" applyBorder="1" applyProtection="1"/>
    <xf numFmtId="0" fontId="3" fillId="0" borderId="0" xfId="0" applyFont="1" applyProtection="1"/>
    <xf numFmtId="0" fontId="5" fillId="4" borderId="1" xfId="0" applyFont="1" applyFill="1" applyBorder="1" applyAlignment="1" applyProtection="1">
      <alignment wrapText="1"/>
    </xf>
    <xf numFmtId="0" fontId="3" fillId="5" borderId="1" xfId="0" applyFont="1" applyFill="1" applyBorder="1" applyProtection="1"/>
    <xf numFmtId="0" fontId="6" fillId="10" borderId="1" xfId="0" applyFont="1" applyFill="1" applyBorder="1" applyAlignment="1" applyProtection="1">
      <alignment horizontal="center" vertical="center"/>
    </xf>
    <xf numFmtId="0" fontId="6" fillId="10" borderId="8" xfId="0" applyFont="1" applyFill="1" applyBorder="1" applyProtection="1"/>
    <xf numFmtId="0" fontId="3" fillId="6" borderId="1" xfId="0" applyFont="1" applyFill="1" applyBorder="1" applyProtection="1"/>
    <xf numFmtId="0" fontId="3" fillId="0" borderId="1" xfId="0" applyFont="1" applyBorder="1" applyProtection="1"/>
    <xf numFmtId="164" fontId="5" fillId="11" borderId="12" xfId="0" applyNumberFormat="1" applyFont="1" applyFill="1" applyBorder="1" applyAlignment="1" applyProtection="1">
      <alignment horizontal="center"/>
    </xf>
    <xf numFmtId="164" fontId="5" fillId="11" borderId="1" xfId="0" applyNumberFormat="1" applyFont="1" applyFill="1" applyBorder="1" applyAlignment="1" applyProtection="1">
      <alignment horizontal="center"/>
    </xf>
    <xf numFmtId="49" fontId="5" fillId="11" borderId="1" xfId="0" applyNumberFormat="1" applyFont="1" applyFill="1" applyBorder="1" applyAlignment="1" applyProtection="1">
      <alignment horizontal="center"/>
    </xf>
    <xf numFmtId="0" fontId="5" fillId="11" borderId="1" xfId="0" applyFont="1" applyFill="1" applyBorder="1" applyAlignment="1" applyProtection="1">
      <alignment horizontal="center" wrapText="1"/>
    </xf>
    <xf numFmtId="0" fontId="5" fillId="11" borderId="1" xfId="0" applyFont="1" applyFill="1" applyBorder="1" applyAlignment="1" applyProtection="1">
      <alignment horizontal="center"/>
    </xf>
    <xf numFmtId="0" fontId="5" fillId="11" borderId="8" xfId="0" applyFont="1" applyFill="1" applyBorder="1" applyAlignment="1" applyProtection="1">
      <alignment horizontal="center" wrapText="1"/>
    </xf>
    <xf numFmtId="0" fontId="3" fillId="0" borderId="0" xfId="0" applyFont="1" applyAlignment="1" applyProtection="1"/>
    <xf numFmtId="0" fontId="3" fillId="6" borderId="1" xfId="0" applyFont="1" applyFill="1" applyBorder="1" applyAlignment="1" applyProtection="1"/>
    <xf numFmtId="0" fontId="3" fillId="0" borderId="1" xfId="0" applyFont="1" applyBorder="1" applyAlignment="1" applyProtection="1"/>
    <xf numFmtId="0" fontId="5" fillId="3" borderId="1" xfId="0" applyFont="1" applyFill="1" applyBorder="1" applyAlignment="1" applyProtection="1"/>
    <xf numFmtId="0" fontId="5" fillId="7" borderId="1" xfId="0" applyFont="1" applyFill="1" applyBorder="1" applyAlignment="1" applyProtection="1"/>
    <xf numFmtId="0" fontId="5" fillId="0" borderId="12" xfId="0" applyFont="1" applyBorder="1" applyAlignment="1" applyProtection="1">
      <alignment horizontal="left" vertical="top"/>
    </xf>
    <xf numFmtId="164" fontId="3" fillId="0" borderId="1" xfId="0" applyNumberFormat="1" applyFont="1" applyBorder="1" applyAlignment="1" applyProtection="1">
      <alignment horizontal="left" vertical="top"/>
    </xf>
    <xf numFmtId="49" fontId="3" fillId="0" borderId="1" xfId="0" applyNumberFormat="1" applyFont="1" applyBorder="1" applyAlignment="1" applyProtection="1">
      <alignment horizontal="left" vertical="top"/>
    </xf>
    <xf numFmtId="0" fontId="5" fillId="8" borderId="1" xfId="0" applyFont="1" applyFill="1" applyBorder="1" applyAlignment="1" applyProtection="1">
      <alignment horizontal="center"/>
    </xf>
    <xf numFmtId="0" fontId="5" fillId="3" borderId="1" xfId="0" applyFont="1" applyFill="1" applyBorder="1" applyAlignment="1" applyProtection="1">
      <alignment horizontal="center"/>
    </xf>
    <xf numFmtId="0" fontId="5" fillId="2" borderId="1" xfId="0" applyFont="1" applyFill="1" applyBorder="1" applyAlignment="1" applyProtection="1">
      <alignment horizontal="center"/>
    </xf>
    <xf numFmtId="0" fontId="5" fillId="7" borderId="1" xfId="0" applyFont="1" applyFill="1" applyBorder="1" applyAlignment="1" applyProtection="1">
      <alignment horizontal="center"/>
    </xf>
    <xf numFmtId="0" fontId="10" fillId="0" borderId="0" xfId="0" applyFont="1" applyProtection="1"/>
    <xf numFmtId="0" fontId="5" fillId="9" borderId="1" xfId="0" applyFont="1" applyFill="1" applyBorder="1" applyAlignment="1" applyProtection="1">
      <alignment horizontal="center"/>
    </xf>
    <xf numFmtId="0" fontId="3" fillId="0" borderId="0" xfId="0" applyFont="1" applyAlignment="1" applyProtection="1">
      <alignment wrapText="1"/>
    </xf>
    <xf numFmtId="49" fontId="3" fillId="0" borderId="0" xfId="0" applyNumberFormat="1" applyFont="1" applyAlignment="1" applyProtection="1">
      <alignment horizontal="center" vertical="center"/>
    </xf>
    <xf numFmtId="164" fontId="3" fillId="0" borderId="0" xfId="0" applyNumberFormat="1" applyFont="1" applyProtection="1"/>
    <xf numFmtId="0" fontId="3" fillId="0" borderId="0" xfId="0" applyFont="1" applyAlignment="1" applyProtection="1">
      <alignment vertical="center" wrapText="1"/>
    </xf>
    <xf numFmtId="0" fontId="14" fillId="0" borderId="0" xfId="0" applyFont="1" applyAlignment="1" applyProtection="1">
      <alignment wrapText="1"/>
    </xf>
    <xf numFmtId="0" fontId="15" fillId="0" borderId="0" xfId="0" applyFont="1" applyAlignment="1" applyProtection="1">
      <alignment wrapText="1"/>
    </xf>
    <xf numFmtId="0" fontId="16" fillId="0" borderId="0" xfId="0" applyFont="1" applyProtection="1"/>
    <xf numFmtId="0" fontId="4" fillId="0" borderId="0" xfId="0" applyFont="1" applyProtection="1"/>
    <xf numFmtId="0" fontId="3" fillId="10" borderId="9" xfId="0" applyFont="1" applyFill="1" applyBorder="1" applyAlignment="1" applyProtection="1">
      <alignment horizontal="right"/>
    </xf>
    <xf numFmtId="164" fontId="3" fillId="10" borderId="10" xfId="0" applyNumberFormat="1" applyFont="1" applyFill="1" applyBorder="1" applyAlignment="1" applyProtection="1">
      <alignment horizontal="right"/>
    </xf>
    <xf numFmtId="49" fontId="3" fillId="10" borderId="10" xfId="0" applyNumberFormat="1" applyFont="1" applyFill="1" applyBorder="1" applyAlignment="1" applyProtection="1">
      <alignment horizontal="left"/>
    </xf>
    <xf numFmtId="0" fontId="3" fillId="10" borderId="10" xfId="0" applyFont="1" applyFill="1" applyBorder="1" applyProtection="1"/>
    <xf numFmtId="0" fontId="3" fillId="10" borderId="11" xfId="0" applyFont="1" applyFill="1" applyBorder="1" applyProtection="1"/>
    <xf numFmtId="0" fontId="3" fillId="10" borderId="21" xfId="0" applyFont="1" applyFill="1" applyBorder="1" applyAlignment="1" applyProtection="1">
      <alignment horizontal="right"/>
    </xf>
    <xf numFmtId="164" fontId="3" fillId="10" borderId="0" xfId="0" applyNumberFormat="1" applyFont="1" applyFill="1" applyBorder="1" applyAlignment="1" applyProtection="1">
      <alignment horizontal="right"/>
    </xf>
    <xf numFmtId="49" fontId="3" fillId="10" borderId="0" xfId="0" applyNumberFormat="1" applyFont="1" applyFill="1" applyBorder="1" applyAlignment="1" applyProtection="1">
      <alignment horizontal="left"/>
    </xf>
    <xf numFmtId="0" fontId="3" fillId="10" borderId="0" xfId="0" applyFont="1" applyFill="1" applyBorder="1" applyProtection="1"/>
    <xf numFmtId="0" fontId="3" fillId="10" borderId="14" xfId="0" applyFont="1" applyFill="1" applyBorder="1" applyProtection="1"/>
    <xf numFmtId="164" fontId="5" fillId="15" borderId="25" xfId="0" applyNumberFormat="1" applyFont="1" applyFill="1" applyBorder="1" applyAlignment="1" applyProtection="1">
      <alignment horizontal="center"/>
    </xf>
    <xf numFmtId="164" fontId="5" fillId="15" borderId="26" xfId="0" applyNumberFormat="1" applyFont="1" applyFill="1" applyBorder="1" applyAlignment="1" applyProtection="1">
      <alignment horizontal="center"/>
    </xf>
    <xf numFmtId="49" fontId="5" fillId="15" borderId="26" xfId="0" applyNumberFormat="1" applyFont="1" applyFill="1" applyBorder="1" applyAlignment="1" applyProtection="1">
      <alignment horizontal="center"/>
    </xf>
    <xf numFmtId="0" fontId="5" fillId="15" borderId="26" xfId="0" applyFont="1" applyFill="1" applyBorder="1" applyAlignment="1" applyProtection="1">
      <alignment horizontal="center" wrapText="1"/>
    </xf>
    <xf numFmtId="0" fontId="5" fillId="15" borderId="26" xfId="0" applyFont="1" applyFill="1" applyBorder="1" applyAlignment="1" applyProtection="1">
      <alignment horizontal="center"/>
    </xf>
    <xf numFmtId="0" fontId="5" fillId="15" borderId="27" xfId="0" applyFont="1" applyFill="1" applyBorder="1" applyAlignment="1" applyProtection="1">
      <alignment horizontal="center" wrapText="1"/>
    </xf>
    <xf numFmtId="0" fontId="5" fillId="16" borderId="28" xfId="0" applyFont="1" applyFill="1" applyBorder="1" applyAlignment="1" applyProtection="1">
      <alignment wrapText="1"/>
    </xf>
    <xf numFmtId="0" fontId="3" fillId="12" borderId="29" xfId="0" applyFont="1" applyFill="1" applyBorder="1" applyAlignment="1" applyProtection="1">
      <alignment horizontal="right"/>
    </xf>
    <xf numFmtId="164" fontId="3" fillId="12" borderId="5" xfId="0" applyNumberFormat="1" applyFont="1" applyFill="1" applyBorder="1" applyAlignment="1" applyProtection="1">
      <alignment horizontal="right"/>
    </xf>
    <xf numFmtId="49" fontId="4" fillId="12" borderId="5" xfId="0" applyNumberFormat="1" applyFont="1" applyFill="1" applyBorder="1" applyAlignment="1" applyProtection="1">
      <alignment horizontal="left"/>
    </xf>
    <xf numFmtId="0" fontId="4" fillId="12" borderId="5" xfId="0" applyFont="1" applyFill="1" applyBorder="1" applyAlignment="1" applyProtection="1">
      <alignment horizontal="left"/>
    </xf>
    <xf numFmtId="0" fontId="4" fillId="12" borderId="0" xfId="0" applyFont="1" applyFill="1" applyProtection="1"/>
    <xf numFmtId="0" fontId="3" fillId="17" borderId="0" xfId="0" applyFont="1" applyFill="1" applyProtection="1"/>
    <xf numFmtId="0" fontId="3" fillId="17" borderId="1" xfId="0" applyFont="1" applyFill="1" applyBorder="1" applyProtection="1"/>
    <xf numFmtId="0" fontId="5" fillId="17" borderId="1" xfId="0" applyFont="1" applyFill="1" applyBorder="1" applyAlignment="1" applyProtection="1">
      <alignment horizontal="center"/>
    </xf>
    <xf numFmtId="0" fontId="3" fillId="12" borderId="12" xfId="0" applyFont="1" applyFill="1" applyBorder="1" applyAlignment="1" applyProtection="1">
      <alignment horizontal="right"/>
    </xf>
    <xf numFmtId="164" fontId="3" fillId="12" borderId="1" xfId="0" applyNumberFormat="1" applyFont="1" applyFill="1" applyBorder="1" applyAlignment="1" applyProtection="1">
      <alignment horizontal="right"/>
    </xf>
    <xf numFmtId="49" fontId="4" fillId="12" borderId="1" xfId="0" applyNumberFormat="1" applyFont="1" applyFill="1" applyBorder="1" applyAlignment="1" applyProtection="1">
      <alignment horizontal="left"/>
    </xf>
    <xf numFmtId="0" fontId="4" fillId="12" borderId="1" xfId="0" applyFont="1" applyFill="1" applyBorder="1" applyAlignment="1" applyProtection="1">
      <alignment horizontal="left"/>
    </xf>
    <xf numFmtId="0" fontId="3" fillId="17" borderId="1" xfId="0" applyFont="1" applyFill="1" applyBorder="1" applyAlignment="1" applyProtection="1">
      <alignment wrapText="1"/>
    </xf>
    <xf numFmtId="164" fontId="3" fillId="0" borderId="1" xfId="0" applyNumberFormat="1" applyFont="1" applyBorder="1" applyAlignment="1" applyProtection="1">
      <alignment horizontal="right"/>
    </xf>
    <xf numFmtId="49" fontId="3" fillId="0" borderId="1" xfId="0" applyNumberFormat="1" applyFont="1" applyBorder="1" applyAlignment="1" applyProtection="1">
      <alignment horizontal="left"/>
    </xf>
    <xf numFmtId="0" fontId="3" fillId="0" borderId="1" xfId="0" applyFont="1" applyBorder="1" applyAlignment="1" applyProtection="1">
      <alignment horizontal="left"/>
    </xf>
    <xf numFmtId="0" fontId="3" fillId="6" borderId="1" xfId="0" applyFont="1" applyFill="1" applyBorder="1" applyAlignment="1" applyProtection="1">
      <alignment horizontal="left"/>
    </xf>
    <xf numFmtId="0" fontId="3" fillId="0" borderId="0" xfId="0" applyFont="1" applyAlignment="1" applyProtection="1">
      <alignment horizontal="right"/>
    </xf>
    <xf numFmtId="164" fontId="3" fillId="0" borderId="0" xfId="0" applyNumberFormat="1" applyFont="1" applyAlignment="1" applyProtection="1">
      <alignment horizontal="left"/>
    </xf>
    <xf numFmtId="49" fontId="3" fillId="0" borderId="0" xfId="0" applyNumberFormat="1" applyFont="1" applyAlignment="1" applyProtection="1">
      <alignment horizontal="left"/>
    </xf>
    <xf numFmtId="164" fontId="3" fillId="0" borderId="0" xfId="0" applyNumberFormat="1" applyFont="1" applyAlignment="1" applyProtection="1">
      <alignment horizontal="right"/>
    </xf>
    <xf numFmtId="49" fontId="3" fillId="0" borderId="0" xfId="0" applyNumberFormat="1" applyFont="1" applyAlignment="1" applyProtection="1">
      <alignment horizontal="left" wrapText="1"/>
    </xf>
    <xf numFmtId="0" fontId="3" fillId="0" borderId="0" xfId="0" applyFont="1" applyAlignment="1" applyProtection="1">
      <alignment horizontal="left" wrapText="1"/>
    </xf>
    <xf numFmtId="0" fontId="14" fillId="0" borderId="9" xfId="0" applyFont="1" applyFill="1" applyBorder="1" applyAlignment="1" applyProtection="1">
      <alignment horizontal="center" wrapText="1"/>
    </xf>
    <xf numFmtId="0" fontId="14" fillId="0" borderId="10" xfId="0" applyFont="1" applyFill="1" applyBorder="1" applyAlignment="1" applyProtection="1">
      <alignment horizontal="center" wrapText="1"/>
    </xf>
    <xf numFmtId="0" fontId="14" fillId="0" borderId="11" xfId="0" applyFont="1" applyFill="1" applyBorder="1" applyAlignment="1" applyProtection="1">
      <alignment horizontal="center" wrapText="1"/>
    </xf>
    <xf numFmtId="0" fontId="14" fillId="0" borderId="2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14" fillId="0" borderId="14" xfId="0" applyFont="1" applyFill="1" applyBorder="1" applyAlignment="1" applyProtection="1">
      <alignment horizontal="center" vertical="center" wrapText="1"/>
    </xf>
    <xf numFmtId="0" fontId="14" fillId="0" borderId="19"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6" fillId="10" borderId="16" xfId="0" applyFont="1" applyFill="1" applyBorder="1" applyAlignment="1" applyProtection="1">
      <alignment horizontal="center"/>
    </xf>
    <xf numFmtId="0" fontId="6" fillId="10" borderId="17" xfId="0" applyFont="1" applyFill="1" applyBorder="1" applyAlignment="1" applyProtection="1">
      <alignment horizontal="center"/>
    </xf>
    <xf numFmtId="0" fontId="6" fillId="10" borderId="12" xfId="0" applyFont="1" applyFill="1" applyBorder="1" applyAlignment="1" applyProtection="1">
      <alignment horizontal="center"/>
    </xf>
    <xf numFmtId="0" fontId="6" fillId="10" borderId="1" xfId="0" applyFont="1" applyFill="1" applyBorder="1" applyAlignment="1" applyProtection="1">
      <alignment horizontal="center"/>
    </xf>
    <xf numFmtId="0" fontId="7" fillId="14" borderId="23" xfId="0" applyFont="1" applyFill="1" applyBorder="1" applyAlignment="1" applyProtection="1">
      <alignment horizontal="center"/>
    </xf>
    <xf numFmtId="0" fontId="8" fillId="13" borderId="0" xfId="0" applyFont="1" applyFill="1" applyBorder="1" applyAlignment="1" applyProtection="1">
      <alignment horizontal="center" wrapText="1"/>
    </xf>
    <xf numFmtId="0" fontId="8" fillId="13" borderId="0" xfId="0" applyFont="1" applyFill="1" applyBorder="1" applyAlignment="1" applyProtection="1">
      <alignment horizontal="center"/>
    </xf>
    <xf numFmtId="0" fontId="7" fillId="2" borderId="22" xfId="0" applyFont="1" applyFill="1" applyBorder="1" applyAlignment="1" applyProtection="1">
      <alignment horizontal="center"/>
    </xf>
    <xf numFmtId="0" fontId="7" fillId="2" borderId="23" xfId="0" applyFont="1" applyFill="1" applyBorder="1" applyAlignment="1" applyProtection="1">
      <alignment horizontal="center"/>
    </xf>
    <xf numFmtId="0" fontId="7" fillId="2" borderId="24" xfId="0" applyFont="1" applyFill="1" applyBorder="1" applyAlignment="1" applyProtection="1">
      <alignment horizontal="center"/>
    </xf>
    <xf numFmtId="0" fontId="13" fillId="3" borderId="22" xfId="0" applyFont="1" applyFill="1" applyBorder="1" applyAlignment="1" applyProtection="1">
      <alignment horizontal="center"/>
    </xf>
    <xf numFmtId="0" fontId="13" fillId="3" borderId="23" xfId="0" applyFont="1" applyFill="1" applyBorder="1" applyAlignment="1" applyProtection="1">
      <alignment horizontal="center"/>
    </xf>
    <xf numFmtId="0" fontId="9" fillId="13" borderId="0" xfId="0" applyFont="1" applyFill="1" applyBorder="1" applyAlignment="1" applyProtection="1">
      <alignment horizontal="center" wrapText="1"/>
    </xf>
    <xf numFmtId="0" fontId="3" fillId="0" borderId="3" xfId="0" applyFont="1" applyBorder="1" applyAlignment="1" applyProtection="1">
      <alignment horizontal="center" textRotation="90"/>
    </xf>
    <xf numFmtId="0" fontId="3" fillId="0" borderId="4" xfId="0" applyFont="1" applyBorder="1" applyAlignment="1" applyProtection="1">
      <alignment horizontal="center" textRotation="90"/>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xf>
    <xf numFmtId="0" fontId="3" fillId="0" borderId="2" xfId="0" applyFont="1" applyBorder="1" applyAlignment="1" applyProtection="1">
      <alignment horizontal="center"/>
    </xf>
    <xf numFmtId="0" fontId="3" fillId="0" borderId="6" xfId="0" applyFont="1" applyBorder="1" applyAlignment="1" applyProtection="1">
      <alignment horizontal="center"/>
    </xf>
    <xf numFmtId="0" fontId="3" fillId="0" borderId="7" xfId="0" applyFont="1" applyBorder="1" applyAlignment="1" applyProtection="1">
      <alignment horizontal="center"/>
    </xf>
    <xf numFmtId="0" fontId="3" fillId="0" borderId="1" xfId="0" applyFont="1" applyBorder="1" applyAlignment="1" applyProtection="1">
      <alignment horizontal="center" vertical="center" textRotation="90"/>
    </xf>
    <xf numFmtId="0" fontId="14" fillId="0" borderId="0" xfId="0" applyFont="1" applyFill="1" applyAlignment="1" applyProtection="1">
      <alignment horizontal="center" wrapText="1"/>
    </xf>
    <xf numFmtId="0" fontId="14" fillId="0" borderId="0" xfId="0" applyFont="1" applyFill="1" applyAlignment="1" applyProtection="1">
      <alignment horizontal="center"/>
    </xf>
    <xf numFmtId="0" fontId="13" fillId="3" borderId="24" xfId="0" applyFont="1" applyFill="1" applyBorder="1" applyAlignment="1" applyProtection="1">
      <alignment horizontal="center"/>
    </xf>
  </cellXfs>
  <cellStyles count="1">
    <cellStyle name="Normal" xfId="0" builtinId="0"/>
  </cellStyles>
  <dxfs count="176">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C00000"/>
        </patternFill>
      </fill>
    </dxf>
    <dxf>
      <fill>
        <patternFill>
          <bgColor rgb="FF00B050"/>
        </patternFill>
      </fill>
    </dxf>
    <dxf>
      <fill>
        <patternFill>
          <bgColor rgb="FF92D050"/>
        </patternFill>
      </fill>
    </dxf>
    <dxf>
      <fill>
        <patternFill>
          <bgColor rgb="FFFFFF00"/>
        </patternFill>
      </fill>
    </dxf>
    <dxf>
      <fill>
        <patternFill>
          <bgColor rgb="FFFFFF00"/>
        </patternFill>
      </fill>
    </dxf>
    <dxf>
      <fill>
        <patternFill>
          <bgColor rgb="FFC00000"/>
        </patternFill>
      </fill>
    </dxf>
    <dxf>
      <fill>
        <patternFill>
          <bgColor rgb="FFFF0000"/>
        </patternFill>
      </fill>
    </dxf>
    <dxf>
      <fill>
        <patternFill>
          <bgColor rgb="FFC0000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00B050"/>
        </patternFill>
      </fill>
    </dxf>
    <dxf>
      <fill>
        <patternFill>
          <bgColor rgb="FFC0000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00B05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theme="5" tint="0.39994506668294322"/>
        </patternFill>
      </fill>
    </dxf>
    <dxf>
      <fill>
        <patternFill>
          <bgColor rgb="FFFF00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0070C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
      <fill>
        <patternFill>
          <bgColor rgb="FFFF0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theme="5" tint="0.39994506668294322"/>
        </patternFill>
      </fill>
    </dxf>
    <dxf>
      <fill>
        <patternFill>
          <bgColor rgb="FFFF0000"/>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rgb="FFC00000"/>
        </patternFill>
      </fill>
    </dxf>
    <dxf>
      <fill>
        <patternFill>
          <bgColor rgb="FF00B05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FF00"/>
        </patternFill>
      </fill>
    </dxf>
    <dxf>
      <fill>
        <patternFill>
          <bgColor rgb="FFC000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249977111117893"/>
  </sheetPr>
  <dimension ref="A1:AM14"/>
  <sheetViews>
    <sheetView tabSelected="1" view="pageBreakPreview" zoomScale="83" zoomScaleNormal="83" zoomScaleSheetLayoutView="83" workbookViewId="0">
      <pane ySplit="6" topLeftCell="A7" activePane="bottomLeft" state="frozen"/>
      <selection pane="bottomLeft" activeCell="I24" sqref="I24"/>
    </sheetView>
  </sheetViews>
  <sheetFormatPr defaultColWidth="9.1328125" defaultRowHeight="13.5" x14ac:dyDescent="0.35"/>
  <cols>
    <col min="1" max="1" width="5.73046875" style="30" customWidth="1"/>
    <col min="2" max="2" width="12.73046875" style="59" customWidth="1"/>
    <col min="3" max="3" width="8.86328125" style="58" customWidth="1"/>
    <col min="4" max="4" width="34.1328125" style="60" customWidth="1"/>
    <col min="5" max="5" width="23" style="60" customWidth="1"/>
    <col min="6" max="6" width="18.1328125" style="57" customWidth="1"/>
    <col min="7" max="7" width="14.73046875" style="57" customWidth="1"/>
    <col min="8" max="8" width="18.86328125" style="30" customWidth="1"/>
    <col min="9" max="9" width="14" style="30" customWidth="1"/>
    <col min="10" max="10" width="12.3984375" style="30" customWidth="1"/>
    <col min="11" max="11" width="23.86328125" style="30" customWidth="1"/>
    <col min="12" max="12" width="11.3984375" style="30" customWidth="1"/>
    <col min="13" max="13" width="10.3984375" style="30" customWidth="1"/>
    <col min="14" max="14" width="24.73046875" style="30" customWidth="1"/>
    <col min="15" max="15" width="14.1328125" style="30" customWidth="1"/>
    <col min="16" max="16" width="12.73046875" style="30" customWidth="1"/>
    <col min="17" max="17" width="9.73046875" style="30" hidden="1" customWidth="1"/>
    <col min="18" max="18" width="16.1328125" style="30" hidden="1" customWidth="1"/>
    <col min="19" max="19" width="16.59765625" style="30" hidden="1" customWidth="1"/>
    <col min="20" max="20" width="3.59765625" style="30" hidden="1" customWidth="1"/>
    <col min="21" max="21" width="4.59765625" style="30" hidden="1" customWidth="1"/>
    <col min="22" max="22" width="17.265625" style="30" hidden="1" customWidth="1"/>
    <col min="23" max="23" width="12.1328125" style="30" hidden="1" customWidth="1"/>
    <col min="24" max="24" width="10.59765625" style="30" hidden="1" customWidth="1"/>
    <col min="25" max="25" width="11.59765625" style="30" hidden="1" customWidth="1"/>
    <col min="26" max="26" width="11.265625" style="30" hidden="1" customWidth="1"/>
    <col min="27" max="27" width="12.73046875" style="30" hidden="1" customWidth="1"/>
    <col min="28" max="28" width="9.73046875" style="30" hidden="1" customWidth="1"/>
    <col min="29" max="29" width="34.3984375" style="30" hidden="1" customWidth="1"/>
    <col min="30" max="30" width="9.73046875" style="30" hidden="1" customWidth="1"/>
    <col min="31" max="31" width="19.3984375" style="30" hidden="1" customWidth="1"/>
    <col min="32" max="38" width="9.1328125" style="30" hidden="1" customWidth="1"/>
    <col min="39" max="39" width="27" style="30" customWidth="1"/>
    <col min="40" max="16384" width="9.1328125" style="30"/>
  </cols>
  <sheetData>
    <row r="1" spans="1:39" s="26" customFormat="1" ht="24.4" x14ac:dyDescent="0.6">
      <c r="A1" s="105" t="s">
        <v>93</v>
      </c>
      <c r="B1" s="106"/>
      <c r="C1" s="106"/>
      <c r="D1" s="106"/>
      <c r="E1" s="106"/>
      <c r="F1" s="106"/>
      <c r="G1" s="106"/>
      <c r="H1" s="106"/>
      <c r="I1" s="106"/>
      <c r="J1" s="106"/>
      <c r="K1" s="106"/>
      <c r="L1" s="106"/>
      <c r="M1" s="106"/>
      <c r="N1" s="106"/>
      <c r="O1" s="106"/>
      <c r="P1" s="107"/>
    </row>
    <row r="2" spans="1:39" s="27" customFormat="1" ht="24.4" x14ac:dyDescent="0.45">
      <c r="A2" s="108" t="s">
        <v>70</v>
      </c>
      <c r="B2" s="109"/>
      <c r="C2" s="109"/>
      <c r="D2" s="109"/>
      <c r="E2" s="109"/>
      <c r="F2" s="109"/>
      <c r="G2" s="109"/>
      <c r="H2" s="109"/>
      <c r="I2" s="109"/>
      <c r="J2" s="109"/>
      <c r="K2" s="109"/>
      <c r="L2" s="109"/>
      <c r="M2" s="109"/>
      <c r="N2" s="109"/>
      <c r="O2" s="109"/>
      <c r="P2" s="110"/>
    </row>
    <row r="3" spans="1:39" s="27" customFormat="1" ht="24.75" thickBot="1" x14ac:dyDescent="0.5">
      <c r="A3" s="111" t="s">
        <v>94</v>
      </c>
      <c r="B3" s="112"/>
      <c r="C3" s="112"/>
      <c r="D3" s="112"/>
      <c r="E3" s="112"/>
      <c r="F3" s="112"/>
      <c r="G3" s="112"/>
      <c r="H3" s="112"/>
      <c r="I3" s="112"/>
      <c r="J3" s="112"/>
      <c r="K3" s="112"/>
      <c r="L3" s="112"/>
      <c r="M3" s="112"/>
      <c r="N3" s="112"/>
      <c r="O3" s="112"/>
      <c r="P3" s="113"/>
    </row>
    <row r="4" spans="1:39" ht="28.9" thickBot="1" x14ac:dyDescent="0.6">
      <c r="A4" s="114"/>
      <c r="B4" s="115"/>
      <c r="C4" s="115"/>
      <c r="D4" s="121" t="s">
        <v>0</v>
      </c>
      <c r="E4" s="122"/>
      <c r="F4" s="122"/>
      <c r="G4" s="123"/>
      <c r="H4" s="118" t="s">
        <v>61</v>
      </c>
      <c r="I4" s="118"/>
      <c r="J4" s="118"/>
      <c r="K4" s="124" t="s">
        <v>1</v>
      </c>
      <c r="L4" s="125"/>
      <c r="M4" s="125"/>
      <c r="N4" s="28"/>
      <c r="O4" s="28"/>
      <c r="P4" s="29"/>
      <c r="R4" s="31" t="s">
        <v>2</v>
      </c>
      <c r="S4" s="31" t="s">
        <v>3</v>
      </c>
      <c r="U4" s="129" t="s">
        <v>4</v>
      </c>
      <c r="V4" s="129"/>
      <c r="W4" s="130" t="s">
        <v>5</v>
      </c>
      <c r="X4" s="130"/>
      <c r="Y4" s="130"/>
      <c r="Z4" s="130"/>
      <c r="AA4" s="130"/>
      <c r="AC4" s="32" t="s">
        <v>6</v>
      </c>
    </row>
    <row r="5" spans="1:39" ht="19.899999999999999" x14ac:dyDescent="0.5">
      <c r="A5" s="116"/>
      <c r="B5" s="117"/>
      <c r="C5" s="117"/>
      <c r="D5" s="119" t="s">
        <v>7</v>
      </c>
      <c r="E5" s="119"/>
      <c r="F5" s="126"/>
      <c r="G5" s="126"/>
      <c r="H5" s="119" t="s">
        <v>8</v>
      </c>
      <c r="I5" s="120"/>
      <c r="J5" s="120"/>
      <c r="K5" s="119" t="s">
        <v>6</v>
      </c>
      <c r="L5" s="119"/>
      <c r="M5" s="119"/>
      <c r="N5" s="33"/>
      <c r="O5" s="33"/>
      <c r="P5" s="34"/>
      <c r="R5" s="35" t="s">
        <v>9</v>
      </c>
      <c r="S5" s="35" t="s">
        <v>10</v>
      </c>
      <c r="U5" s="129"/>
      <c r="V5" s="129"/>
      <c r="W5" s="36" t="s">
        <v>11</v>
      </c>
      <c r="X5" s="36" t="s">
        <v>12</v>
      </c>
      <c r="Y5" s="36" t="s">
        <v>13</v>
      </c>
      <c r="Z5" s="36" t="s">
        <v>14</v>
      </c>
      <c r="AA5" s="36" t="s">
        <v>10</v>
      </c>
    </row>
    <row r="6" spans="1:39" s="43" customFormat="1" ht="40.5" x14ac:dyDescent="0.35">
      <c r="A6" s="37" t="s">
        <v>60</v>
      </c>
      <c r="B6" s="38" t="s">
        <v>15</v>
      </c>
      <c r="C6" s="39" t="s">
        <v>16</v>
      </c>
      <c r="D6" s="40" t="s">
        <v>48</v>
      </c>
      <c r="E6" s="40" t="s">
        <v>26</v>
      </c>
      <c r="F6" s="40" t="s">
        <v>17</v>
      </c>
      <c r="G6" s="40" t="s">
        <v>18</v>
      </c>
      <c r="H6" s="41" t="s">
        <v>19</v>
      </c>
      <c r="I6" s="41" t="s">
        <v>20</v>
      </c>
      <c r="J6" s="41" t="s">
        <v>21</v>
      </c>
      <c r="K6" s="40" t="s">
        <v>22</v>
      </c>
      <c r="L6" s="41" t="s">
        <v>23</v>
      </c>
      <c r="M6" s="40" t="s">
        <v>24</v>
      </c>
      <c r="N6" s="40" t="s">
        <v>25</v>
      </c>
      <c r="O6" s="40" t="s">
        <v>27</v>
      </c>
      <c r="P6" s="42" t="s">
        <v>28</v>
      </c>
      <c r="R6" s="44" t="s">
        <v>29</v>
      </c>
      <c r="S6" s="44" t="s">
        <v>14</v>
      </c>
      <c r="U6" s="127" t="s">
        <v>30</v>
      </c>
      <c r="V6" s="45" t="s">
        <v>9</v>
      </c>
      <c r="W6" s="46" t="s">
        <v>31</v>
      </c>
      <c r="X6" s="46" t="s">
        <v>31</v>
      </c>
      <c r="Y6" s="47" t="s">
        <v>32</v>
      </c>
      <c r="Z6" s="47" t="s">
        <v>33</v>
      </c>
      <c r="AA6" s="47" t="s">
        <v>33</v>
      </c>
    </row>
    <row r="7" spans="1:39" ht="40.5" x14ac:dyDescent="0.4">
      <c r="A7" s="48">
        <v>1</v>
      </c>
      <c r="B7" s="49">
        <v>45114</v>
      </c>
      <c r="C7" s="50" t="s">
        <v>47</v>
      </c>
      <c r="D7" s="5" t="s">
        <v>69</v>
      </c>
      <c r="E7" s="2" t="s">
        <v>50</v>
      </c>
      <c r="F7" s="2" t="s">
        <v>49</v>
      </c>
      <c r="G7" s="2" t="s">
        <v>59</v>
      </c>
      <c r="H7" s="1" t="s">
        <v>36</v>
      </c>
      <c r="I7" s="1" t="s">
        <v>13</v>
      </c>
      <c r="J7" s="3" t="str">
        <f t="shared" ref="J7:J10" si="0">IFERROR(INDEX(W$6:AA$10,MATCH(H7,V$6:V$10,0),MATCH(I7,W$5:AA$5,0)),"")</f>
        <v>Medium</v>
      </c>
      <c r="K7" s="2" t="s">
        <v>101</v>
      </c>
      <c r="L7" s="1" t="s">
        <v>46</v>
      </c>
      <c r="M7" s="4" t="str">
        <f>IFERROR(INDEX(#REF!,MATCH(J7,#REF!,0),MATCH(L7,#REF!,0)),"")</f>
        <v/>
      </c>
      <c r="N7" s="6"/>
      <c r="O7" s="6" t="s">
        <v>57</v>
      </c>
      <c r="P7" s="7"/>
      <c r="R7" s="35" t="s">
        <v>36</v>
      </c>
      <c r="S7" s="35" t="s">
        <v>13</v>
      </c>
      <c r="U7" s="128"/>
      <c r="V7" s="36" t="s">
        <v>29</v>
      </c>
      <c r="W7" s="51" t="s">
        <v>35</v>
      </c>
      <c r="X7" s="52" t="s">
        <v>31</v>
      </c>
      <c r="Y7" s="53" t="s">
        <v>32</v>
      </c>
      <c r="Z7" s="53" t="s">
        <v>32</v>
      </c>
      <c r="AA7" s="54" t="s">
        <v>33</v>
      </c>
      <c r="AC7" s="35" t="s">
        <v>41</v>
      </c>
      <c r="AM7" s="55"/>
    </row>
    <row r="8" spans="1:39" ht="40.5" x14ac:dyDescent="0.35">
      <c r="A8" s="48">
        <v>2</v>
      </c>
      <c r="B8" s="49">
        <v>45114</v>
      </c>
      <c r="C8" s="50" t="s">
        <v>51</v>
      </c>
      <c r="D8" s="6" t="s">
        <v>58</v>
      </c>
      <c r="E8" s="2" t="s">
        <v>55</v>
      </c>
      <c r="F8" s="2" t="s">
        <v>66</v>
      </c>
      <c r="G8" s="2" t="s">
        <v>65</v>
      </c>
      <c r="H8" s="1" t="s">
        <v>9</v>
      </c>
      <c r="I8" s="1" t="s">
        <v>13</v>
      </c>
      <c r="J8" s="3" t="str">
        <f t="shared" si="0"/>
        <v>High</v>
      </c>
      <c r="K8" s="6" t="s">
        <v>102</v>
      </c>
      <c r="L8" s="1" t="s">
        <v>56</v>
      </c>
      <c r="M8" s="4" t="str">
        <f>IFERROR(INDEX(#REF!,MATCH(J8,#REF!,0),MATCH(L8,#REF!,0)),"")</f>
        <v/>
      </c>
      <c r="N8" s="6"/>
      <c r="O8" s="6" t="s">
        <v>62</v>
      </c>
      <c r="P8" s="7"/>
      <c r="R8" s="35" t="s">
        <v>37</v>
      </c>
      <c r="S8" s="35" t="s">
        <v>12</v>
      </c>
      <c r="U8" s="128"/>
      <c r="V8" s="36" t="s">
        <v>36</v>
      </c>
      <c r="W8" s="51" t="s">
        <v>35</v>
      </c>
      <c r="X8" s="51" t="s">
        <v>35</v>
      </c>
      <c r="Y8" s="52" t="s">
        <v>31</v>
      </c>
      <c r="Z8" s="53" t="s">
        <v>32</v>
      </c>
      <c r="AA8" s="53" t="s">
        <v>32</v>
      </c>
      <c r="AC8" s="35"/>
    </row>
    <row r="9" spans="1:39" ht="27" x14ac:dyDescent="0.35">
      <c r="A9" s="48">
        <v>3</v>
      </c>
      <c r="B9" s="49">
        <v>45114</v>
      </c>
      <c r="C9" s="50" t="s">
        <v>52</v>
      </c>
      <c r="D9" s="6" t="s">
        <v>67</v>
      </c>
      <c r="E9" s="2" t="s">
        <v>50</v>
      </c>
      <c r="F9" s="2" t="s">
        <v>49</v>
      </c>
      <c r="G9" s="2" t="s">
        <v>59</v>
      </c>
      <c r="H9" s="1" t="s">
        <v>9</v>
      </c>
      <c r="I9" s="1" t="s">
        <v>14</v>
      </c>
      <c r="J9" s="3" t="str">
        <f t="shared" si="0"/>
        <v>Very High</v>
      </c>
      <c r="K9" s="6" t="s">
        <v>103</v>
      </c>
      <c r="L9" s="1" t="s">
        <v>46</v>
      </c>
      <c r="M9" s="4" t="str">
        <f>IFERROR(INDEX(#REF!,MATCH(J9,#REF!,0),MATCH(L9,#REF!,0)),"")</f>
        <v/>
      </c>
      <c r="N9" s="6"/>
      <c r="O9" s="6" t="s">
        <v>57</v>
      </c>
      <c r="P9" s="7"/>
      <c r="R9" s="35" t="s">
        <v>34</v>
      </c>
      <c r="S9" s="35" t="s">
        <v>11</v>
      </c>
      <c r="U9" s="128"/>
      <c r="V9" s="36" t="s">
        <v>37</v>
      </c>
      <c r="W9" s="56" t="s">
        <v>38</v>
      </c>
      <c r="X9" s="51" t="s">
        <v>35</v>
      </c>
      <c r="Y9" s="52" t="s">
        <v>31</v>
      </c>
      <c r="Z9" s="52" t="s">
        <v>31</v>
      </c>
      <c r="AA9" s="53" t="s">
        <v>32</v>
      </c>
      <c r="AC9" s="35"/>
    </row>
    <row r="10" spans="1:39" ht="40.5" x14ac:dyDescent="0.35">
      <c r="A10" s="48">
        <v>4</v>
      </c>
      <c r="B10" s="49">
        <v>45114</v>
      </c>
      <c r="C10" s="50" t="s">
        <v>54</v>
      </c>
      <c r="D10" s="6" t="s">
        <v>68</v>
      </c>
      <c r="E10" s="2" t="s">
        <v>50</v>
      </c>
      <c r="F10" s="2" t="s">
        <v>49</v>
      </c>
      <c r="G10" s="2" t="s">
        <v>64</v>
      </c>
      <c r="H10" s="1" t="s">
        <v>9</v>
      </c>
      <c r="I10" s="1" t="s">
        <v>13</v>
      </c>
      <c r="J10" s="3" t="str">
        <f t="shared" si="0"/>
        <v>High</v>
      </c>
      <c r="K10" s="6" t="s">
        <v>104</v>
      </c>
      <c r="L10" s="1" t="s">
        <v>56</v>
      </c>
      <c r="M10" s="4" t="str">
        <f>IFERROR(INDEX(#REF!,MATCH(J10,#REF!,0),MATCH(L10,#REF!,0)),"")</f>
        <v/>
      </c>
      <c r="N10" s="6"/>
      <c r="O10" s="6" t="s">
        <v>62</v>
      </c>
      <c r="P10" s="7"/>
      <c r="U10" s="128"/>
      <c r="V10" s="36" t="s">
        <v>34</v>
      </c>
      <c r="W10" s="56" t="s">
        <v>38</v>
      </c>
      <c r="X10" s="56" t="s">
        <v>38</v>
      </c>
      <c r="Y10" s="51" t="s">
        <v>35</v>
      </c>
      <c r="Z10" s="52" t="s">
        <v>31</v>
      </c>
      <c r="AA10" s="52" t="s">
        <v>31</v>
      </c>
      <c r="AC10" s="35"/>
    </row>
    <row r="11" spans="1:39" x14ac:dyDescent="0.35">
      <c r="D11" s="57"/>
      <c r="E11" s="57"/>
      <c r="G11" s="30"/>
    </row>
    <row r="12" spans="1:39" x14ac:dyDescent="0.35">
      <c r="D12" s="57"/>
      <c r="E12" s="57"/>
      <c r="G12" s="30"/>
    </row>
    <row r="13" spans="1:39" x14ac:dyDescent="0.35">
      <c r="D13" s="57"/>
      <c r="E13" s="57"/>
      <c r="G13" s="30"/>
    </row>
    <row r="14" spans="1:39" x14ac:dyDescent="0.35">
      <c r="D14" s="57"/>
      <c r="E14" s="57"/>
      <c r="G14" s="30"/>
    </row>
  </sheetData>
  <autoFilter ref="A6:P10"/>
  <mergeCells count="13">
    <mergeCell ref="U6:U10"/>
    <mergeCell ref="U4:V5"/>
    <mergeCell ref="W4:AA4"/>
    <mergeCell ref="A1:P1"/>
    <mergeCell ref="A2:P2"/>
    <mergeCell ref="A3:P3"/>
    <mergeCell ref="A4:C5"/>
    <mergeCell ref="H4:J4"/>
    <mergeCell ref="K5:M5"/>
    <mergeCell ref="H5:J5"/>
    <mergeCell ref="D4:G4"/>
    <mergeCell ref="K4:M4"/>
    <mergeCell ref="D5:G5"/>
  </mergeCells>
  <conditionalFormatting sqref="J7:J10">
    <cfRule type="containsText" dxfId="175" priority="207" operator="containsText" text="LOW">
      <formula>NOT(ISERROR(SEARCH("LOW",J7)))</formula>
    </cfRule>
    <cfRule type="containsText" dxfId="174" priority="223" operator="containsText" text="High">
      <formula>NOT(ISERROR(SEARCH("High",J7)))</formula>
    </cfRule>
    <cfRule type="containsText" dxfId="173" priority="224" operator="containsText" text="Very High">
      <formula>NOT(ISERROR(SEARCH("Very High",J7)))</formula>
    </cfRule>
    <cfRule type="containsText" dxfId="172" priority="225" operator="containsText" text="Medium">
      <formula>NOT(ISERROR(SEARCH("Medium",J7)))</formula>
    </cfRule>
  </conditionalFormatting>
  <conditionalFormatting sqref="L7:L10">
    <cfRule type="containsText" dxfId="171" priority="215" operator="containsText" text="Very Weak">
      <formula>NOT(ISERROR(SEARCH("Very Weak",L7)))</formula>
    </cfRule>
    <cfRule type="containsText" dxfId="170" priority="216" operator="containsText" text="Weak">
      <formula>NOT(ISERROR(SEARCH("Weak",L7)))</formula>
    </cfRule>
    <cfRule type="containsText" dxfId="169" priority="217" operator="containsText" text="Very Weak">
      <formula>NOT(ISERROR(SEARCH("Very Weak",L7)))</formula>
    </cfRule>
    <cfRule type="containsText" dxfId="168" priority="218" operator="containsText" text="Weak">
      <formula>NOT(ISERROR(SEARCH("Weak",L7)))</formula>
    </cfRule>
    <cfRule type="containsText" dxfId="167" priority="219" operator="containsText" text="Adequate">
      <formula>NOT(ISERROR(SEARCH("Adequate",L7)))</formula>
    </cfRule>
    <cfRule type="containsText" dxfId="166" priority="220" operator="containsText" text="Strong">
      <formula>NOT(ISERROR(SEARCH("Strong",L7)))</formula>
    </cfRule>
    <cfRule type="containsText" dxfId="165" priority="221" operator="containsText" text="Very Strong">
      <formula>NOT(ISERROR(SEARCH("Very Strong",L7)))</formula>
    </cfRule>
    <cfRule type="containsText" dxfId="164" priority="222" operator="containsText" text="Very Weak">
      <formula>NOT(ISERROR(SEARCH("Very Weak",L7)))</formula>
    </cfRule>
  </conditionalFormatting>
  <conditionalFormatting sqref="L7:L10">
    <cfRule type="containsText" dxfId="163" priority="214" operator="containsText" text="Very Strong">
      <formula>NOT(ISERROR(SEARCH("Very Strong",L7)))</formula>
    </cfRule>
  </conditionalFormatting>
  <conditionalFormatting sqref="M7:M10">
    <cfRule type="containsText" dxfId="162" priority="200" operator="containsText" text="Very High">
      <formula>NOT(ISERROR(SEARCH("Very High",M7)))</formula>
    </cfRule>
    <cfRule type="containsText" dxfId="161" priority="201" operator="containsText" text="High">
      <formula>NOT(ISERROR(SEARCH("High",M7)))</formula>
    </cfRule>
    <cfRule type="containsText" dxfId="160" priority="202" operator="containsText" text="Medium">
      <formula>NOT(ISERROR(SEARCH("Medium",M7)))</formula>
    </cfRule>
    <cfRule type="containsText" dxfId="159" priority="203" operator="containsText" text="Very Low">
      <formula>NOT(ISERROR(SEARCH("Very Low",M7)))</formula>
    </cfRule>
    <cfRule type="containsText" dxfId="158" priority="204" operator="containsText" text="Low">
      <formula>NOT(ISERROR(SEARCH("Low",M7)))</formula>
    </cfRule>
  </conditionalFormatting>
  <dataValidations count="8">
    <dataValidation type="list" allowBlank="1" showInputMessage="1" showErrorMessage="1" sqref="J5 J11:J1048576">
      <formula1>"Very High, High, Medium, Low, Very low"</formula1>
    </dataValidation>
    <dataValidation type="list" allowBlank="1" showInputMessage="1" showErrorMessage="1" sqref="I5 I11:I1048576">
      <formula1>"Very High, High, Medium, Low, Very Low"</formula1>
    </dataValidation>
    <dataValidation type="date" operator="greaterThan" showInputMessage="1" showErrorMessage="1" sqref="B6">
      <formula1>1012023</formula1>
    </dataValidation>
    <dataValidation allowBlank="1" showInputMessage="1" showErrorMessage="1" promptTitle="Financial,Legal,Compliance, Repu" sqref="G6"/>
    <dataValidation type="list" allowBlank="1" showInputMessage="1" showErrorMessage="1" promptTitle="Financial,Legal,Compliance, Repu" sqref="G11:G1048576 G4:G5">
      <formula1>$N$6:$N$10</formula1>
    </dataValidation>
    <dataValidation type="list" allowBlank="1" showInputMessage="1" showErrorMessage="1" sqref="M11:M1048576">
      <formula1>"Very High,High, Medium, Low, Very low"</formula1>
    </dataValidation>
    <dataValidation type="list" allowBlank="1" showInputMessage="1" showErrorMessage="1" sqref="H11:H1048576">
      <formula1>"Rare, Unlikely, Possible, Likely, Almost Certain"</formula1>
    </dataValidation>
    <dataValidation type="whole" operator="greaterThan" allowBlank="1" showInputMessage="1" showErrorMessage="1" sqref="A4:A1048576">
      <formula1>1</formula1>
    </dataValidation>
  </dataValidations>
  <pageMargins left="0.70866141732283472" right="0.70866141732283472" top="0.74803149606299213" bottom="0.74803149606299213" header="0.31496062992125984" footer="0.31496062992125984"/>
  <pageSetup paperSize="9" scale="50" orientation="landscape"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#REF!</xm:f>
          </x14:formula1>
          <xm:sqref>E7:E10</xm:sqref>
        </x14:dataValidation>
        <x14:dataValidation type="list" allowBlank="1" showInputMessage="1" showErrorMessage="1">
          <x14:formula1>
            <xm:f>#REF!</xm:f>
          </x14:formula1>
          <xm:sqref>G7:G10</xm:sqref>
        </x14:dataValidation>
        <x14:dataValidation type="list" allowBlank="1" showInputMessage="1" showErrorMessage="1">
          <x14:formula1>
            <xm:f>#REF!</xm:f>
          </x14:formula1>
          <xm:sqref>F7:F10</xm:sqref>
        </x14:dataValidation>
        <x14:dataValidation type="list" allowBlank="1" showInputMessage="1" showErrorMessage="1">
          <x14:formula1>
            <xm:f>#REF!</xm:f>
          </x14:formula1>
          <xm:sqref>I7:I10</xm:sqref>
        </x14:dataValidation>
        <x14:dataValidation type="list" allowBlank="1" showInputMessage="1" showErrorMessage="1">
          <x14:formula1>
            <xm:f>#REF!</xm:f>
          </x14:formula1>
          <xm:sqref>H7:H10</xm:sqref>
        </x14:dataValidation>
        <x14:dataValidation type="list" allowBlank="1" showInputMessage="1" showErrorMessage="1">
          <x14:formula1>
            <xm:f>#REF!</xm:f>
          </x14:formula1>
          <xm:sqref>L7:L1048576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AE15"/>
  <sheetViews>
    <sheetView view="pageBreakPreview" zoomScale="87" zoomScaleNormal="80" zoomScaleSheetLayoutView="87" workbookViewId="0">
      <pane ySplit="6" topLeftCell="A7" activePane="bottomLeft" state="frozen"/>
      <selection activeCell="A6" sqref="A6"/>
      <selection pane="bottomLeft" sqref="A1:P1"/>
    </sheetView>
  </sheetViews>
  <sheetFormatPr defaultColWidth="9.1328125" defaultRowHeight="13.5" x14ac:dyDescent="0.35"/>
  <cols>
    <col min="1" max="1" width="4.73046875" style="99" bestFit="1" customWidth="1"/>
    <col min="2" max="2" width="12.73046875" style="102" customWidth="1"/>
    <col min="3" max="3" width="7.3984375" style="101" customWidth="1"/>
    <col min="4" max="4" width="33.3984375" style="104" customWidth="1"/>
    <col min="5" max="5" width="18.265625" style="104" customWidth="1"/>
    <col min="6" max="6" width="15.73046875" style="57" customWidth="1"/>
    <col min="7" max="7" width="13.73046875" style="57" customWidth="1"/>
    <col min="8" max="8" width="12.73046875" style="30" customWidth="1"/>
    <col min="9" max="9" width="10.3984375" style="30" customWidth="1"/>
    <col min="10" max="10" width="11.59765625" style="30" customWidth="1"/>
    <col min="11" max="11" width="25.59765625" style="30" customWidth="1"/>
    <col min="12" max="12" width="12.265625" style="30" customWidth="1"/>
    <col min="13" max="13" width="14.86328125" style="30" customWidth="1"/>
    <col min="14" max="14" width="20.86328125" style="30" customWidth="1"/>
    <col min="15" max="15" width="16.86328125" style="30" customWidth="1"/>
    <col min="16" max="16" width="12.73046875" style="30" customWidth="1"/>
    <col min="17" max="17" width="19" style="30" hidden="1" customWidth="1"/>
    <col min="18" max="18" width="10.265625" style="30" hidden="1" customWidth="1"/>
    <col min="19" max="20" width="12.59765625" style="30" hidden="1" customWidth="1"/>
    <col min="21" max="27" width="10.265625" style="30" hidden="1" customWidth="1"/>
    <col min="28" max="28" width="11.3984375" style="30" hidden="1" customWidth="1"/>
    <col min="29" max="29" width="10.265625" style="30" hidden="1" customWidth="1"/>
    <col min="30" max="30" width="32.3984375" style="30" hidden="1" customWidth="1"/>
    <col min="31" max="31" width="10.265625" style="30" hidden="1" customWidth="1"/>
    <col min="32" max="34" width="10.265625" style="30" customWidth="1"/>
    <col min="35" max="16384" width="9.1328125" style="30"/>
  </cols>
  <sheetData>
    <row r="1" spans="1:30" s="61" customFormat="1" ht="24.4" x14ac:dyDescent="0.6">
      <c r="A1" s="135" t="s">
        <v>95</v>
      </c>
      <c r="B1" s="135"/>
      <c r="C1" s="135"/>
      <c r="D1" s="135"/>
      <c r="E1" s="135"/>
      <c r="F1" s="135"/>
      <c r="G1" s="135"/>
      <c r="H1" s="135"/>
      <c r="I1" s="135"/>
      <c r="J1" s="135"/>
      <c r="K1" s="135"/>
      <c r="L1" s="135"/>
      <c r="M1" s="135"/>
      <c r="N1" s="135"/>
      <c r="O1" s="135"/>
      <c r="P1" s="135"/>
      <c r="R1" s="62"/>
      <c r="S1" s="62"/>
      <c r="T1" s="62"/>
      <c r="U1" s="62"/>
      <c r="V1" s="62"/>
      <c r="W1" s="62"/>
      <c r="X1" s="62"/>
      <c r="Y1" s="62"/>
      <c r="Z1" s="62"/>
      <c r="AA1" s="62"/>
      <c r="AB1" s="62"/>
      <c r="AC1" s="62"/>
      <c r="AD1" s="62"/>
    </row>
    <row r="2" spans="1:30" s="63" customFormat="1" ht="24.4" x14ac:dyDescent="0.6">
      <c r="A2" s="136" t="s">
        <v>71</v>
      </c>
      <c r="B2" s="136"/>
      <c r="C2" s="136"/>
      <c r="D2" s="136"/>
      <c r="E2" s="136"/>
      <c r="F2" s="136"/>
      <c r="G2" s="136"/>
      <c r="H2" s="136"/>
      <c r="I2" s="136"/>
      <c r="J2" s="136"/>
      <c r="K2" s="136"/>
      <c r="L2" s="136"/>
      <c r="M2" s="136"/>
      <c r="N2" s="136"/>
      <c r="O2" s="136"/>
      <c r="P2" s="136"/>
      <c r="R2" s="64"/>
      <c r="S2" s="64"/>
      <c r="T2" s="64"/>
      <c r="U2" s="64"/>
      <c r="V2" s="64"/>
      <c r="W2" s="64"/>
      <c r="X2" s="64"/>
      <c r="Y2" s="64"/>
      <c r="Z2" s="64"/>
      <c r="AA2" s="64"/>
      <c r="AB2" s="64"/>
      <c r="AC2" s="64"/>
      <c r="AD2" s="64"/>
    </row>
    <row r="3" spans="1:30" s="63" customFormat="1" ht="24.75" thickBot="1" x14ac:dyDescent="0.65">
      <c r="A3" s="136" t="s">
        <v>96</v>
      </c>
      <c r="B3" s="136"/>
      <c r="C3" s="136"/>
      <c r="D3" s="136"/>
      <c r="E3" s="136"/>
      <c r="F3" s="136"/>
      <c r="G3" s="136"/>
      <c r="H3" s="136"/>
      <c r="I3" s="136"/>
      <c r="J3" s="136"/>
      <c r="K3" s="136"/>
      <c r="L3" s="136"/>
      <c r="M3" s="136"/>
      <c r="N3" s="136"/>
      <c r="O3" s="136"/>
      <c r="P3" s="136"/>
      <c r="R3" s="64"/>
      <c r="S3" s="64"/>
      <c r="T3" s="64"/>
      <c r="U3" s="64"/>
      <c r="V3" s="64"/>
      <c r="W3" s="64"/>
      <c r="X3" s="64"/>
      <c r="Y3" s="64"/>
      <c r="Z3" s="64"/>
      <c r="AA3" s="64"/>
      <c r="AB3" s="64"/>
      <c r="AC3" s="64"/>
      <c r="AD3" s="64"/>
    </row>
    <row r="4" spans="1:30" ht="42.4" thickBot="1" x14ac:dyDescent="0.6">
      <c r="A4" s="65"/>
      <c r="B4" s="66"/>
      <c r="C4" s="67"/>
      <c r="D4" s="121" t="s">
        <v>0</v>
      </c>
      <c r="E4" s="122"/>
      <c r="F4" s="122"/>
      <c r="G4" s="123"/>
      <c r="H4" s="118" t="s">
        <v>61</v>
      </c>
      <c r="I4" s="118"/>
      <c r="J4" s="118"/>
      <c r="K4" s="124" t="s">
        <v>1</v>
      </c>
      <c r="L4" s="125"/>
      <c r="M4" s="125"/>
      <c r="N4" s="137"/>
      <c r="O4" s="68"/>
      <c r="P4" s="69"/>
      <c r="S4" s="31" t="s">
        <v>2</v>
      </c>
      <c r="T4" s="31" t="s">
        <v>3</v>
      </c>
      <c r="V4" s="129" t="s">
        <v>4</v>
      </c>
      <c r="W4" s="129"/>
      <c r="X4" s="130" t="s">
        <v>5</v>
      </c>
      <c r="Y4" s="130"/>
      <c r="Z4" s="130"/>
      <c r="AA4" s="130"/>
      <c r="AB4" s="130"/>
      <c r="AD4" s="32" t="s">
        <v>6</v>
      </c>
    </row>
    <row r="5" spans="1:30" ht="20.25" thickBot="1" x14ac:dyDescent="0.55000000000000004">
      <c r="A5" s="70"/>
      <c r="B5" s="71"/>
      <c r="C5" s="72"/>
      <c r="D5" s="119" t="s">
        <v>7</v>
      </c>
      <c r="E5" s="119"/>
      <c r="F5" s="126"/>
      <c r="G5" s="126"/>
      <c r="H5" s="119" t="s">
        <v>8</v>
      </c>
      <c r="I5" s="120"/>
      <c r="J5" s="120"/>
      <c r="K5" s="119" t="s">
        <v>6</v>
      </c>
      <c r="L5" s="119"/>
      <c r="M5" s="119"/>
      <c r="N5" s="119"/>
      <c r="O5" s="73"/>
      <c r="P5" s="74"/>
      <c r="S5" s="35" t="s">
        <v>9</v>
      </c>
      <c r="T5" s="35" t="s">
        <v>10</v>
      </c>
      <c r="V5" s="129"/>
      <c r="W5" s="129"/>
      <c r="X5" s="36" t="s">
        <v>11</v>
      </c>
      <c r="Y5" s="36" t="s">
        <v>12</v>
      </c>
      <c r="Z5" s="36" t="s">
        <v>13</v>
      </c>
      <c r="AA5" s="36" t="s">
        <v>14</v>
      </c>
      <c r="AB5" s="36" t="s">
        <v>10</v>
      </c>
    </row>
    <row r="6" spans="1:30" ht="40.9" thickBot="1" x14ac:dyDescent="0.4">
      <c r="A6" s="75" t="s">
        <v>60</v>
      </c>
      <c r="B6" s="76" t="s">
        <v>15</v>
      </c>
      <c r="C6" s="77" t="s">
        <v>16</v>
      </c>
      <c r="D6" s="78" t="s">
        <v>72</v>
      </c>
      <c r="E6" s="78" t="s">
        <v>26</v>
      </c>
      <c r="F6" s="78" t="s">
        <v>17</v>
      </c>
      <c r="G6" s="78" t="s">
        <v>18</v>
      </c>
      <c r="H6" s="79" t="s">
        <v>19</v>
      </c>
      <c r="I6" s="79" t="s">
        <v>20</v>
      </c>
      <c r="J6" s="79" t="s">
        <v>21</v>
      </c>
      <c r="K6" s="78" t="s">
        <v>22</v>
      </c>
      <c r="L6" s="79" t="s">
        <v>23</v>
      </c>
      <c r="M6" s="78" t="s">
        <v>24</v>
      </c>
      <c r="N6" s="78" t="s">
        <v>73</v>
      </c>
      <c r="O6" s="78" t="s">
        <v>27</v>
      </c>
      <c r="P6" s="80" t="s">
        <v>28</v>
      </c>
      <c r="Q6" s="81"/>
      <c r="S6" s="35" t="s">
        <v>29</v>
      </c>
      <c r="T6" s="35" t="s">
        <v>14</v>
      </c>
      <c r="V6" s="134" t="s">
        <v>30</v>
      </c>
      <c r="W6" s="36" t="s">
        <v>9</v>
      </c>
      <c r="X6" s="52" t="s">
        <v>31</v>
      </c>
      <c r="Y6" s="52" t="s">
        <v>31</v>
      </c>
      <c r="Z6" s="54" t="s">
        <v>32</v>
      </c>
      <c r="AA6" s="54" t="s">
        <v>33</v>
      </c>
      <c r="AB6" s="54" t="s">
        <v>33</v>
      </c>
    </row>
    <row r="7" spans="1:30" s="86" customFormat="1" ht="54" x14ac:dyDescent="0.35">
      <c r="A7" s="82">
        <v>1</v>
      </c>
      <c r="B7" s="83">
        <v>45005</v>
      </c>
      <c r="C7" s="84" t="s">
        <v>74</v>
      </c>
      <c r="D7" s="8" t="s">
        <v>75</v>
      </c>
      <c r="E7" s="8" t="s">
        <v>50</v>
      </c>
      <c r="F7" s="8" t="s">
        <v>76</v>
      </c>
      <c r="G7" s="8" t="s">
        <v>77</v>
      </c>
      <c r="H7" s="9" t="s">
        <v>29</v>
      </c>
      <c r="I7" s="9" t="s">
        <v>12</v>
      </c>
      <c r="J7" s="85" t="str">
        <f>IFERROR(INDEX(X$6:AB$10,MATCH(H7,W$6:W$10,0),MATCH(I7,X$5:AB$5,0)),"")</f>
        <v>Medium</v>
      </c>
      <c r="K7" s="8" t="s">
        <v>97</v>
      </c>
      <c r="L7" s="9" t="s">
        <v>39</v>
      </c>
      <c r="M7" s="85" t="str">
        <f>IFERROR(INDEX(#REF!,MATCH(J7,#REF!,0),MATCH(L7,#REF!,0)),"")</f>
        <v/>
      </c>
      <c r="N7" s="10"/>
      <c r="O7" s="8" t="s">
        <v>78</v>
      </c>
      <c r="P7" s="11"/>
      <c r="R7" s="87"/>
      <c r="S7" s="88" t="s">
        <v>36</v>
      </c>
      <c r="T7" s="88" t="s">
        <v>13</v>
      </c>
      <c r="U7" s="87"/>
      <c r="V7" s="134"/>
      <c r="W7" s="88" t="s">
        <v>29</v>
      </c>
      <c r="X7" s="89" t="s">
        <v>35</v>
      </c>
      <c r="Y7" s="89" t="s">
        <v>31</v>
      </c>
      <c r="Z7" s="89" t="s">
        <v>32</v>
      </c>
      <c r="AA7" s="89" t="s">
        <v>32</v>
      </c>
      <c r="AB7" s="89" t="s">
        <v>33</v>
      </c>
      <c r="AC7" s="87"/>
      <c r="AD7" s="88" t="s">
        <v>41</v>
      </c>
    </row>
    <row r="8" spans="1:30" s="86" customFormat="1" ht="40.5" x14ac:dyDescent="0.35">
      <c r="A8" s="90">
        <v>2</v>
      </c>
      <c r="B8" s="91">
        <v>45005</v>
      </c>
      <c r="C8" s="92" t="s">
        <v>79</v>
      </c>
      <c r="D8" s="12" t="s">
        <v>80</v>
      </c>
      <c r="E8" s="12" t="s">
        <v>50</v>
      </c>
      <c r="F8" s="12" t="s">
        <v>81</v>
      </c>
      <c r="G8" s="12" t="s">
        <v>82</v>
      </c>
      <c r="H8" s="13" t="s">
        <v>29</v>
      </c>
      <c r="I8" s="13" t="s">
        <v>12</v>
      </c>
      <c r="J8" s="93" t="str">
        <f>IFERROR(INDEX(X$6:AB$10,MATCH(H8,W$6:W$10,0),MATCH(I8,X$5:AB$5,0)),"")</f>
        <v>Medium</v>
      </c>
      <c r="K8" s="12" t="s">
        <v>92</v>
      </c>
      <c r="L8" s="13" t="s">
        <v>39</v>
      </c>
      <c r="M8" s="93" t="str">
        <f>IFERROR(INDEX(#REF!,MATCH(J8,#REF!,0),MATCH(L8,#REF!,0)),"")</f>
        <v/>
      </c>
      <c r="N8" s="14"/>
      <c r="O8" s="12" t="s">
        <v>78</v>
      </c>
      <c r="P8" s="15"/>
      <c r="R8" s="87"/>
      <c r="S8" s="88" t="s">
        <v>37</v>
      </c>
      <c r="T8" s="88" t="s">
        <v>12</v>
      </c>
      <c r="U8" s="87"/>
      <c r="V8" s="134"/>
      <c r="W8" s="88" t="s">
        <v>36</v>
      </c>
      <c r="X8" s="89" t="s">
        <v>35</v>
      </c>
      <c r="Y8" s="89" t="s">
        <v>35</v>
      </c>
      <c r="Z8" s="89" t="s">
        <v>31</v>
      </c>
      <c r="AA8" s="89" t="s">
        <v>32</v>
      </c>
      <c r="AB8" s="89" t="s">
        <v>32</v>
      </c>
      <c r="AC8" s="87"/>
      <c r="AD8" s="94" t="s">
        <v>44</v>
      </c>
    </row>
    <row r="9" spans="1:30" s="86" customFormat="1" ht="40.5" x14ac:dyDescent="0.35">
      <c r="A9" s="90">
        <v>3</v>
      </c>
      <c r="B9" s="91">
        <v>45005</v>
      </c>
      <c r="C9" s="92" t="s">
        <v>83</v>
      </c>
      <c r="D9" s="12" t="s">
        <v>84</v>
      </c>
      <c r="E9" s="12" t="s">
        <v>50</v>
      </c>
      <c r="F9" s="12" t="s">
        <v>81</v>
      </c>
      <c r="G9" s="12" t="s">
        <v>82</v>
      </c>
      <c r="H9" s="13" t="s">
        <v>37</v>
      </c>
      <c r="I9" s="13" t="s">
        <v>13</v>
      </c>
      <c r="J9" s="93" t="str">
        <f t="shared" ref="J9:J12" si="0">IFERROR(INDEX(X$6:AB$10,MATCH(H9,W$6:W$10,0),MATCH(I9,X$5:AB$5,0)),"")</f>
        <v>Medium</v>
      </c>
      <c r="K9" s="12" t="s">
        <v>98</v>
      </c>
      <c r="L9" s="13" t="s">
        <v>39</v>
      </c>
      <c r="M9" s="93" t="str">
        <f>IFERROR(INDEX(#REF!,MATCH(J9,#REF!,0),MATCH(L9,#REF!,0)),"")</f>
        <v/>
      </c>
      <c r="N9" s="14"/>
      <c r="O9" s="12" t="s">
        <v>78</v>
      </c>
      <c r="P9" s="16"/>
      <c r="R9" s="87"/>
      <c r="S9" s="88" t="s">
        <v>34</v>
      </c>
      <c r="T9" s="88" t="s">
        <v>11</v>
      </c>
      <c r="U9" s="87"/>
      <c r="V9" s="134"/>
      <c r="W9" s="88" t="s">
        <v>37</v>
      </c>
      <c r="X9" s="89" t="s">
        <v>38</v>
      </c>
      <c r="Y9" s="89" t="s">
        <v>35</v>
      </c>
      <c r="Z9" s="89" t="s">
        <v>31</v>
      </c>
      <c r="AA9" s="89" t="s">
        <v>31</v>
      </c>
      <c r="AB9" s="89" t="s">
        <v>32</v>
      </c>
      <c r="AC9" s="87"/>
      <c r="AD9" s="88" t="s">
        <v>40</v>
      </c>
    </row>
    <row r="10" spans="1:30" ht="40.5" x14ac:dyDescent="0.35">
      <c r="A10" s="90">
        <v>4</v>
      </c>
      <c r="B10" s="95">
        <v>45005</v>
      </c>
      <c r="C10" s="96" t="s">
        <v>85</v>
      </c>
      <c r="D10" s="17" t="s">
        <v>86</v>
      </c>
      <c r="E10" s="17" t="s">
        <v>50</v>
      </c>
      <c r="F10" s="17" t="s">
        <v>53</v>
      </c>
      <c r="G10" s="18" t="s">
        <v>87</v>
      </c>
      <c r="H10" s="19" t="s">
        <v>36</v>
      </c>
      <c r="I10" s="19" t="s">
        <v>13</v>
      </c>
      <c r="J10" s="97" t="str">
        <f t="shared" si="0"/>
        <v>Medium</v>
      </c>
      <c r="K10" s="12" t="s">
        <v>92</v>
      </c>
      <c r="L10" s="19" t="s">
        <v>39</v>
      </c>
      <c r="M10" s="98" t="str">
        <f>IFERROR(INDEX(#REF!,MATCH(J10,#REF!,0),MATCH(L10,#REF!,0)),"")</f>
        <v/>
      </c>
      <c r="N10" s="18"/>
      <c r="O10" s="17" t="s">
        <v>78</v>
      </c>
      <c r="P10" s="20"/>
      <c r="Q10" s="57"/>
      <c r="V10" s="134"/>
      <c r="W10" s="36" t="s">
        <v>34</v>
      </c>
      <c r="X10" s="56" t="s">
        <v>38</v>
      </c>
      <c r="Y10" s="56" t="s">
        <v>38</v>
      </c>
      <c r="Z10" s="51" t="s">
        <v>35</v>
      </c>
      <c r="AA10" s="52" t="s">
        <v>31</v>
      </c>
      <c r="AB10" s="52" t="s">
        <v>31</v>
      </c>
      <c r="AD10" s="35" t="s">
        <v>45</v>
      </c>
    </row>
    <row r="11" spans="1:30" ht="54" x14ac:dyDescent="0.35">
      <c r="A11" s="90">
        <v>5</v>
      </c>
      <c r="B11" s="95">
        <v>45005</v>
      </c>
      <c r="C11" s="96" t="s">
        <v>88</v>
      </c>
      <c r="D11" s="17" t="s">
        <v>89</v>
      </c>
      <c r="E11" s="17" t="s">
        <v>50</v>
      </c>
      <c r="F11" s="17" t="s">
        <v>53</v>
      </c>
      <c r="G11" s="17" t="s">
        <v>63</v>
      </c>
      <c r="H11" s="19" t="s">
        <v>36</v>
      </c>
      <c r="I11" s="19" t="s">
        <v>13</v>
      </c>
      <c r="J11" s="97" t="str">
        <f t="shared" si="0"/>
        <v>Medium</v>
      </c>
      <c r="K11" s="17" t="s">
        <v>99</v>
      </c>
      <c r="L11" s="19" t="s">
        <v>39</v>
      </c>
      <c r="M11" s="98" t="str">
        <f>IFERROR(INDEX(#REF!,MATCH(J11,#REF!,0),MATCH(L11,#REF!,0)),"")</f>
        <v/>
      </c>
      <c r="N11" s="21"/>
      <c r="O11" s="17" t="s">
        <v>78</v>
      </c>
      <c r="P11" s="22"/>
      <c r="Q11" s="57"/>
      <c r="AD11" s="35" t="s">
        <v>42</v>
      </c>
    </row>
    <row r="12" spans="1:30" ht="40.5" x14ac:dyDescent="0.35">
      <c r="A12" s="90">
        <v>6</v>
      </c>
      <c r="B12" s="95">
        <v>45005</v>
      </c>
      <c r="C12" s="96" t="s">
        <v>90</v>
      </c>
      <c r="D12" s="17" t="s">
        <v>91</v>
      </c>
      <c r="E12" s="17" t="s">
        <v>50</v>
      </c>
      <c r="F12" s="17" t="s">
        <v>53</v>
      </c>
      <c r="G12" s="17" t="s">
        <v>63</v>
      </c>
      <c r="H12" s="19" t="s">
        <v>9</v>
      </c>
      <c r="I12" s="19" t="s">
        <v>12</v>
      </c>
      <c r="J12" s="97" t="str">
        <f t="shared" si="0"/>
        <v>Medium</v>
      </c>
      <c r="K12" s="23" t="s">
        <v>100</v>
      </c>
      <c r="L12" s="19" t="s">
        <v>39</v>
      </c>
      <c r="M12" s="98" t="str">
        <f>IFERROR(INDEX(#REF!,MATCH(J12,#REF!,0),MATCH(L12,#REF!,0)),"")</f>
        <v/>
      </c>
      <c r="N12" s="24"/>
      <c r="O12" s="17" t="s">
        <v>78</v>
      </c>
      <c r="P12" s="25"/>
      <c r="Q12" s="57"/>
      <c r="V12" s="36"/>
      <c r="W12" s="131" t="s">
        <v>23</v>
      </c>
      <c r="X12" s="132"/>
      <c r="Y12" s="132"/>
      <c r="Z12" s="132"/>
      <c r="AA12" s="132"/>
      <c r="AB12" s="133"/>
      <c r="AD12" s="35" t="s">
        <v>43</v>
      </c>
    </row>
    <row r="13" spans="1:30" x14ac:dyDescent="0.35">
      <c r="B13" s="99"/>
      <c r="C13" s="100"/>
      <c r="D13" s="101"/>
      <c r="E13" s="101"/>
      <c r="F13" s="60"/>
      <c r="H13" s="57"/>
    </row>
    <row r="14" spans="1:30" x14ac:dyDescent="0.35">
      <c r="B14" s="99"/>
      <c r="C14" s="100"/>
      <c r="D14" s="101"/>
      <c r="E14" s="101"/>
      <c r="F14" s="60"/>
      <c r="H14" s="57"/>
    </row>
    <row r="15" spans="1:30" x14ac:dyDescent="0.35">
      <c r="D15" s="103"/>
      <c r="E15" s="103"/>
    </row>
  </sheetData>
  <mergeCells count="13">
    <mergeCell ref="A1:P1"/>
    <mergeCell ref="A2:P2"/>
    <mergeCell ref="A3:P3"/>
    <mergeCell ref="D4:G4"/>
    <mergeCell ref="H4:J4"/>
    <mergeCell ref="K4:N4"/>
    <mergeCell ref="W12:AB12"/>
    <mergeCell ref="V4:W5"/>
    <mergeCell ref="X4:AB4"/>
    <mergeCell ref="D5:G5"/>
    <mergeCell ref="H5:J5"/>
    <mergeCell ref="K5:N5"/>
    <mergeCell ref="V6:V10"/>
  </mergeCells>
  <conditionalFormatting sqref="J9:J12">
    <cfRule type="containsText" dxfId="70" priority="1" operator="containsText" text="Very Low">
      <formula>NOT(ISERROR(SEARCH("Very Low",J9)))</formula>
    </cfRule>
    <cfRule type="containsText" dxfId="69" priority="50" operator="containsText" text="LOW">
      <formula>NOT(ISERROR(SEARCH("LOW",J9)))</formula>
    </cfRule>
    <cfRule type="containsText" dxfId="68" priority="60" operator="containsText" text="High">
      <formula>NOT(ISERROR(SEARCH("High",J9)))</formula>
    </cfRule>
    <cfRule type="containsText" dxfId="67" priority="61" operator="containsText" text="Very High">
      <formula>NOT(ISERROR(SEARCH("Very High",J9)))</formula>
    </cfRule>
    <cfRule type="containsText" dxfId="66" priority="62" operator="containsText" text="Medium">
      <formula>NOT(ISERROR(SEARCH("Medium",J9)))</formula>
    </cfRule>
  </conditionalFormatting>
  <conditionalFormatting sqref="L7">
    <cfRule type="containsText" dxfId="65" priority="63" operator="containsText" text="Very Strong">
      <formula>NOT(ISERROR(SEARCH("Very Strong",L7)))</formula>
    </cfRule>
  </conditionalFormatting>
  <conditionalFormatting sqref="L7:L12">
    <cfRule type="containsText" dxfId="64" priority="64" operator="containsText" text="Very Weak">
      <formula>NOT(ISERROR(SEARCH("Very Weak",L7)))</formula>
    </cfRule>
    <cfRule type="containsText" dxfId="63" priority="65" operator="containsText" text="Weak">
      <formula>NOT(ISERROR(SEARCH("Weak",L7)))</formula>
    </cfRule>
    <cfRule type="containsText" dxfId="62" priority="66" operator="containsText" text="Very Weak">
      <formula>NOT(ISERROR(SEARCH("Very Weak",L7)))</formula>
    </cfRule>
    <cfRule type="containsText" dxfId="61" priority="67" operator="containsText" text="Weak">
      <formula>NOT(ISERROR(SEARCH("Weak",L7)))</formula>
    </cfRule>
    <cfRule type="containsText" dxfId="60" priority="68" operator="containsText" text="Adequate">
      <formula>NOT(ISERROR(SEARCH("Adequate",L7)))</formula>
    </cfRule>
    <cfRule type="containsText" dxfId="59" priority="69" operator="containsText" text="Strong">
      <formula>NOT(ISERROR(SEARCH("Strong",L7)))</formula>
    </cfRule>
    <cfRule type="containsText" dxfId="58" priority="70" operator="containsText" text="Very Strong">
      <formula>NOT(ISERROR(SEARCH("Very Strong",L7)))</formula>
    </cfRule>
    <cfRule type="containsText" dxfId="57" priority="71" operator="containsText" text="Very Weak">
      <formula>NOT(ISERROR(SEARCH("Very Weak",L7)))</formula>
    </cfRule>
  </conditionalFormatting>
  <conditionalFormatting sqref="M7:M12">
    <cfRule type="containsText" dxfId="38" priority="45" operator="containsText" text="Very High">
      <formula>NOT(ISERROR(SEARCH("Very High",M7)))</formula>
    </cfRule>
    <cfRule type="containsText" dxfId="37" priority="46" operator="containsText" text="High">
      <formula>NOT(ISERROR(SEARCH("High",M7)))</formula>
    </cfRule>
    <cfRule type="containsText" dxfId="36" priority="47" operator="containsText" text="Medium">
      <formula>NOT(ISERROR(SEARCH("Medium",M7)))</formula>
    </cfRule>
    <cfRule type="containsText" dxfId="35" priority="48" operator="containsText" text="Very Low">
      <formula>NOT(ISERROR(SEARCH("Very Low",M7)))</formula>
    </cfRule>
    <cfRule type="containsText" dxfId="34" priority="49" operator="containsText" text="Low">
      <formula>NOT(ISERROR(SEARCH("Low",M7)))</formula>
    </cfRule>
  </conditionalFormatting>
  <conditionalFormatting sqref="J7:J8">
    <cfRule type="containsText" dxfId="19" priority="18" operator="containsText" text="LOW">
      <formula>NOT(ISERROR(SEARCH("LOW",J7)))</formula>
    </cfRule>
    <cfRule type="containsText" dxfId="18" priority="19" operator="containsText" text="High">
      <formula>NOT(ISERROR(SEARCH("High",J7)))</formula>
    </cfRule>
    <cfRule type="containsText" dxfId="17" priority="20" operator="containsText" text="Very High">
      <formula>NOT(ISERROR(SEARCH("Very High",J7)))</formula>
    </cfRule>
    <cfRule type="containsText" dxfId="16" priority="21" operator="containsText" text="Medium">
      <formula>NOT(ISERROR(SEARCH("Medium",J7)))</formula>
    </cfRule>
  </conditionalFormatting>
  <pageMargins left="0.7" right="0.7" top="0.75" bottom="0.75" header="0.3" footer="0.3"/>
  <pageSetup paperSize="9" scale="45"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14:formula1>
            <xm:f>#REF!</xm:f>
          </x14:formula1>
          <xm:sqref>E7:E12</xm:sqref>
        </x14:dataValidation>
        <x14:dataValidation type="list" allowBlank="1" showInputMessage="1" showErrorMessage="1">
          <x14:formula1>
            <xm:f>#REF!</xm:f>
          </x14:formula1>
          <xm:sqref>F7:F12</xm:sqref>
        </x14:dataValidation>
        <x14:dataValidation type="list" allowBlank="1" showInputMessage="1" showErrorMessage="1">
          <x14:formula1>
            <xm:f>#REF!</xm:f>
          </x14:formula1>
          <xm:sqref>G7:G12</xm:sqref>
        </x14:dataValidation>
        <x14:dataValidation type="list" allowBlank="1" showInputMessage="1" showErrorMessage="1">
          <x14:formula1>
            <xm:f>#REF!</xm:f>
          </x14:formula1>
          <xm:sqref>H7:H12</xm:sqref>
        </x14:dataValidation>
        <x14:dataValidation type="list" allowBlank="1" showInputMessage="1" showErrorMessage="1">
          <x14:formula1>
            <xm:f>#REF!</xm:f>
          </x14:formula1>
          <xm:sqref>I7:I12</xm:sqref>
        </x14:dataValidation>
        <x14:dataValidation type="list" allowBlank="1" showInputMessage="1" showErrorMessage="1">
          <x14:formula1>
            <xm:f>#REF!</xm:f>
          </x14:formula1>
          <xm:sqref>L7:L12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Domestic Banking</vt:lpstr>
      <vt:lpstr>Credit</vt:lpstr>
      <vt:lpstr>Credit!Print_Area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2023-07-08T07:13:43Z</cp:lastPrinted>
  <dcterms:created xsi:type="dcterms:W3CDTF">2023-02-07T13:46:16Z</dcterms:created>
  <dcterms:modified xsi:type="dcterms:W3CDTF">2026-08-31T11:25:04Z</dcterms:modified>
</cp:coreProperties>
</file>